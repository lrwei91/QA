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1_F0074C40A839E9C5AAFD71F346A2D0AA8F759D95" xr6:coauthVersionLast="47" xr6:coauthVersionMax="47" xr10:uidLastSave="{00000000-0000-0000-0000-000000000000}"/>
  <bookViews>
    <workbookView xWindow="0" yWindow="0" windowWidth="28800" windowHeight="12255" xr2:uid="{00000000-000D-0000-FFFF-FFFF00000000}"/>
  </bookViews>
  <sheets>
    <sheet name="付费率代理风控优化测试用例" sheetId="2" r:id="rId1"/>
    <sheet name="功能位置" sheetId="8" r:id="rId2"/>
    <sheet name="需求迭代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<sst xmlns="http://schemas.openxmlformats.org/spreadsheetml/2006/main" count="218" uniqueCount="85">
  <si>
    <t>付费率代理风控优化测试用例</t>
    <phoneticPr fontId="20" type="noConversion"/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</si>
  <si>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</si>
  <si>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</si>
  <si>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</si>
  <si>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</si>
  <si>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</si>
  <si>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</si>
  <si>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</si>
  <si>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</si>
  <si>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</si>
  <si>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</si>
  <si>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</si>
  <si>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</si>
  <si>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</si>
  <si>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</si>
  <si>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</si>
  <si>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</si>
  <si>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</si>
  <si>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</si>
  <si>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</si>
  <si>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</si>
  <si>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</si>
  <si>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  <phoneticPr fontId="20" type="noConversion"/>
  </si>
  <si>
    <t>账服</t>
    <phoneticPr fontId="20" type="noConversion"/>
  </si>
  <si>
    <t>运营管理-风控玩家</t>
    <phoneticPr fontId="20" type="noConversion"/>
  </si>
  <si>
    <t>验证玩家进风控是否正确</t>
    <phoneticPr fontId="20" type="noConversion"/>
  </si>
  <si>
    <t>1、配置管理：
（1）风控充值次数判断：1000；
（2）风控出款次数判断：1000；
2、运营管理-风控玩家-自动出风控配置：
（1）付费率代理风控：关闭；
（2）付费率代理风控（直推贡献）：关闭；
3、运营管理-风控玩家-付费率代理风控配置：1,100|2,50</t>
    <phoneticPr fontId="20" type="noConversion"/>
  </si>
  <si>
    <t>代理A，新增下级a，下级a不充值，查看是否进风控</t>
  </si>
  <si>
    <t>1、A：不进；
2、a：不进；</t>
    <phoneticPr fontId="20" type="noConversion"/>
  </si>
  <si>
    <t>触发检测，不满足1档，不进风控</t>
    <phoneticPr fontId="20" type="noConversion"/>
  </si>
  <si>
    <t>a充值，查看是否进风控</t>
    <phoneticPr fontId="20" type="noConversion"/>
  </si>
  <si>
    <t>1、A：进；
2、a：进；</t>
    <phoneticPr fontId="20" type="noConversion"/>
  </si>
  <si>
    <t>触发检测，满足1档，进风控</t>
    <phoneticPr fontId="20" type="noConversion"/>
  </si>
  <si>
    <t>1、手动将代理A、下级a移除风控；
2、代理A，新增下级b，下级b不充值，查看是否进风控；</t>
    <phoneticPr fontId="20" type="noConversion"/>
  </si>
  <si>
    <t>1、A：进；
2、a：进；
3、b：进；</t>
    <phoneticPr fontId="20" type="noConversion"/>
  </si>
  <si>
    <t>移除1次，触发检测，，满足2档，再次进风控</t>
    <phoneticPr fontId="20" type="noConversion"/>
  </si>
  <si>
    <t>1、再次手动将代理A、下级a、下级b移除风控；
2、代理A，新增下级c，下级c充值，查看是否进风控；</t>
    <phoneticPr fontId="20" type="noConversion"/>
  </si>
  <si>
    <t>1、A：不进；
2、a：不进；
3、b：不进；
4、c：不进；</t>
    <phoneticPr fontId="20" type="noConversion"/>
  </si>
  <si>
    <t>移除2次，触发检测，无第3档，不进风控</t>
    <phoneticPr fontId="20" type="noConversion"/>
  </si>
  <si>
    <t>1、修改付费率代理风控配置：1,100|2,50|3,100；
2、下级b充值，查看是否进风控；</t>
    <phoneticPr fontId="20" type="noConversion"/>
  </si>
  <si>
    <t>1、A：进；
2、a：进；
3、b：进；
4、c：进；</t>
    <phoneticPr fontId="20" type="noConversion"/>
  </si>
  <si>
    <t>新增3档，触发检测，满足3档，再次进风控</t>
    <phoneticPr fontId="20" type="noConversion"/>
  </si>
  <si>
    <t>1、配置管理：
（1）风控充值次数判断：1000；
（2）风控出款次数判断：1000；
2、运营管理-风控玩家-自动出风控配置：
（1）付费率代理风控：关闭；
（2）付费率代理风控（直推贡献）：关闭；
3、付费率代理风控配置：1,100|2,50.01；</t>
    <phoneticPr fontId="20" type="noConversion"/>
  </si>
  <si>
    <t>代理A，新增下级a，下级a充值，查看是否进风控</t>
    <phoneticPr fontId="20" type="noConversion"/>
  </si>
  <si>
    <t>1、A：不进；
2、a：不进；
3、b：不进；</t>
    <phoneticPr fontId="20" type="noConversion"/>
  </si>
  <si>
    <t>移除1次，触发检测，不满足1档，不进风控</t>
    <phoneticPr fontId="20" type="noConversion"/>
  </si>
  <si>
    <t>1、配置管理：
（1）风控充值次数判断：1000；
（2）风控出款次数判断：1000；
2、运营管理-风控玩家-自动出风控配置：
（1）付费率代理风控：关闭；
（2）付费率代理风控（直推贡献）：关闭；
3、付费率代理风控配置：1,100|3,50；</t>
    <phoneticPr fontId="20" type="noConversion"/>
  </si>
  <si>
    <t>代理A，新增下级a，下级a充值，查看是否进风控</t>
  </si>
  <si>
    <t>1、配置管理：
（1）风控充值次数判断：1000；
（2）风控出款次数判断：1000；
2、运营管理-风控玩家-自动出风控配置：
（1）付费率代理风控：关闭；
（2）付费率代理风控（直推贡献）：关闭；
3、付费率代理风控配置：1,100|3,50.01</t>
    <phoneticPr fontId="20" type="noConversion"/>
  </si>
  <si>
    <r>
      <t xml:space="preserve">1、配置管理：
（1）风控充值次数判断：1000；
（2）风控出款次数判断：1000；
2、运营管理-风控玩家-自动出风控配置：
</t>
    </r>
    <r>
      <rPr>
        <b/>
        <sz val="10"/>
        <color theme="1"/>
        <rFont val="微软雅黑"/>
        <family val="2"/>
        <charset val="134"/>
      </rPr>
      <t>（1）付费率代理风控：开启；</t>
    </r>
    <r>
      <rPr>
        <sz val="10"/>
        <color theme="1"/>
        <rFont val="微软雅黑"/>
        <family val="2"/>
        <charset val="134"/>
      </rPr>
      <t xml:space="preserve">
（2）付费率代理风控（直推贡献）：关闭；
3、运营管理-风控玩家-付费率代理风控配置：1,100|2,50</t>
    </r>
    <phoneticPr fontId="20" type="noConversion"/>
  </si>
  <si>
    <r>
      <t xml:space="preserve">1、配置管理：
（1）风控充值次数判断：1000；
（2）风控出款次数判断：1000；
2、自动出风控配置：
</t>
    </r>
    <r>
      <rPr>
        <b/>
        <sz val="10"/>
        <color theme="1"/>
        <rFont val="微软雅黑"/>
        <family val="2"/>
        <charset val="134"/>
      </rPr>
      <t>（1）付费率代理风控：开启；</t>
    </r>
    <r>
      <rPr>
        <sz val="10"/>
        <color theme="1"/>
        <rFont val="微软雅黑"/>
        <family val="2"/>
        <charset val="134"/>
      </rPr>
      <t xml:space="preserve">
（2）付费率代理风控（直推贡献）：关闭；
3、付费率代理风控配置：1,100|2,50.01；</t>
    </r>
    <phoneticPr fontId="20" type="noConversion"/>
  </si>
  <si>
    <t xml:space="preserve"> 1、A：进；
2、a：进；</t>
    <phoneticPr fontId="20" type="noConversion"/>
  </si>
  <si>
    <t>1、手动将a移除风控；
2、代理A，新增下级b，下级b不充值，查看是否进风控；</t>
    <phoneticPr fontId="20" type="noConversion"/>
  </si>
  <si>
    <t>1、A：进；
2、a：不进；
3、b：进；</t>
    <phoneticPr fontId="20" type="noConversion"/>
  </si>
  <si>
    <r>
      <t xml:space="preserve">1、配置管理：
（1）风控充值次数判断：1000；
（2）风控出款次数判断：1000；
2、自动出风控配置：
</t>
    </r>
    <r>
      <rPr>
        <b/>
        <sz val="10"/>
        <color theme="1"/>
        <rFont val="微软雅黑"/>
        <family val="2"/>
        <charset val="134"/>
      </rPr>
      <t>（1）付费率代理风控：开启；</t>
    </r>
    <r>
      <rPr>
        <sz val="10"/>
        <color theme="1"/>
        <rFont val="微软雅黑"/>
        <family val="2"/>
        <charset val="134"/>
      </rPr>
      <t xml:space="preserve">
（2）付费率代理风控（直推贡献）：关闭；
3、付费率代理风控配置：1,100|3,50</t>
    </r>
    <phoneticPr fontId="20" type="noConversion"/>
  </si>
  <si>
    <r>
      <t xml:space="preserve">1、配置管理：
（1）风控充值次数判断：1000；
（2）风控出款次数判断：1000；
2、自动出风控配置：
</t>
    </r>
    <r>
      <rPr>
        <b/>
        <sz val="10"/>
        <color theme="1"/>
        <rFont val="微软雅黑"/>
        <family val="2"/>
        <charset val="134"/>
      </rPr>
      <t>（1）付费率代理风控：开启；</t>
    </r>
    <r>
      <rPr>
        <sz val="10"/>
        <color theme="1"/>
        <rFont val="微软雅黑"/>
        <family val="2"/>
        <charset val="134"/>
      </rPr>
      <t xml:space="preserve">
（2）付费率代理风控（直推贡献）：关闭；
3、付费率代理风控配置：1,100|3,50.01</t>
    </r>
    <phoneticPr fontId="20" type="noConversion"/>
  </si>
  <si>
    <r>
      <t xml:space="preserve">1、配置管理：
（1）风控充值次数判断：1000；
（2）风控出款次数判断：1000；
2、运营管理-风控玩家-自动出风控配置：
（1）付费率代理风控：关闭；
</t>
    </r>
    <r>
      <rPr>
        <b/>
        <sz val="10"/>
        <color theme="1"/>
        <rFont val="微软雅黑"/>
        <family val="2"/>
        <charset val="134"/>
      </rPr>
      <t>（2）付费率代理风控（直推贡献）：开启；
    1）直推贡献出风控配置：110.01；</t>
    </r>
    <r>
      <rPr>
        <sz val="10"/>
        <color theme="1"/>
        <rFont val="微软雅黑"/>
        <family val="2"/>
        <charset val="134"/>
      </rPr>
      <t xml:space="preserve">
3、运营管理-风控玩家-付费率代理风控配置：1,100|2,50
4、代理A直推贡献：100；</t>
    </r>
    <phoneticPr fontId="20" type="noConversion"/>
  </si>
  <si>
    <t>代理A，新增下级a，下级a充值10，查看是否进风控</t>
    <phoneticPr fontId="20" type="noConversion"/>
  </si>
  <si>
    <t>1、再次手动将代理A、下级a、下级b移除风控；
2、修改自动出风控-直推贡献配置：120.01；
3、代理A，新增下级c，下级c充值10，查看是否进风控；</t>
    <phoneticPr fontId="20" type="noConversion"/>
  </si>
  <si>
    <t>1、修改付费率代理风控配置：1,100|2,50|3,100；
2、修改自动出风控-直推贡献配置：130.01；
3、下级b充值10，查看是否进风控；</t>
    <phoneticPr fontId="20" type="noConversion"/>
  </si>
  <si>
    <r>
      <t xml:space="preserve">1、配置管理：
（1）风控充值次数判断：1000；
（2）风控出款次数判断：1000；
2、运营管理-风控玩家-自动出风控配置：
（1）付费率代理风控：关闭；
</t>
    </r>
    <r>
      <rPr>
        <b/>
        <sz val="10"/>
        <color theme="1"/>
        <rFont val="微软雅黑"/>
        <family val="2"/>
        <charset val="134"/>
      </rPr>
      <t>（2）付费率代理风控（直推贡献）：开启；
    1）直推贡献出风控配置：110.01；</t>
    </r>
    <r>
      <rPr>
        <sz val="10"/>
        <color theme="1"/>
        <rFont val="微软雅黑"/>
        <family val="2"/>
        <charset val="134"/>
      </rPr>
      <t xml:space="preserve">
3、运营管理-风控玩家-付费率代理风控配置：1,100|2,50.01
4、代理A直推贡献：100；</t>
    </r>
    <phoneticPr fontId="20" type="noConversion"/>
  </si>
  <si>
    <r>
      <t xml:space="preserve">1、配置管理：
（1）风控充值次数判断：1000；
（2）风控出款次数判断：1000；
2、运营管理-风控玩家-自动出风控配置：
（1）付费率代理风控：关闭；
</t>
    </r>
    <r>
      <rPr>
        <b/>
        <sz val="10"/>
        <color theme="1"/>
        <rFont val="微软雅黑"/>
        <family val="2"/>
        <charset val="134"/>
      </rPr>
      <t>（2）付费率代理风控（直推贡献）：开启；
    1）直推贡献出风控配置：110.01；</t>
    </r>
    <r>
      <rPr>
        <sz val="10"/>
        <color theme="1"/>
        <rFont val="微软雅黑"/>
        <family val="2"/>
        <charset val="134"/>
      </rPr>
      <t xml:space="preserve">
3、运营管理-风控玩家-付费率代理风控配置：1,100|3,50
4、代理A直推贡献：100；</t>
    </r>
    <phoneticPr fontId="20" type="noConversion"/>
  </si>
  <si>
    <r>
      <t xml:space="preserve">1、配置管理：
（1）风控充值次数判断：1000；
（2）风控出款次数判断：1000；
2、运营管理-风控玩家-自动出风控配置：
（1）付费率代理风控：关闭；
</t>
    </r>
    <r>
      <rPr>
        <b/>
        <sz val="10"/>
        <color theme="1"/>
        <rFont val="微软雅黑"/>
        <family val="2"/>
        <charset val="134"/>
      </rPr>
      <t>（2）付费率代理风控（直推贡献）：开启；
    1）直推贡献出风控配置：110.01；</t>
    </r>
    <r>
      <rPr>
        <sz val="10"/>
        <color theme="1"/>
        <rFont val="微软雅黑"/>
        <family val="2"/>
        <charset val="134"/>
      </rPr>
      <t xml:space="preserve">
3、运营管理-风控玩家-付费率代理风控配置：1,100|3,50.01
4、代理A直推贡献：100；</t>
    </r>
    <phoneticPr fontId="20" type="noConversion"/>
  </si>
  <si>
    <r>
      <t xml:space="preserve">1、配置管理：
（1）风控充值次数判断：1000；
（2）风控出款次数判断：1000；
2、运营管理-风控玩家-自动出风控配置：
（1）付费率代理风控：关闭；
</t>
    </r>
    <r>
      <rPr>
        <b/>
        <sz val="10"/>
        <color theme="1"/>
        <rFont val="微软雅黑"/>
        <family val="2"/>
        <charset val="134"/>
      </rPr>
      <t>（2）付费率代理风控（直推贡献）：开启；
    1）直推贡献出风控配置：110；</t>
    </r>
    <r>
      <rPr>
        <sz val="10"/>
        <color theme="1"/>
        <rFont val="微软雅黑"/>
        <family val="2"/>
        <charset val="134"/>
      </rPr>
      <t xml:space="preserve">
3、运营管理-风控玩家-付费率代理风控配置：1,100|2,50
4、代理A直推贡献：100；</t>
    </r>
    <phoneticPr fontId="20" type="noConversion"/>
  </si>
  <si>
    <r>
      <t xml:space="preserve">1、配置管理：
（1）风控充值次数判断：1000；
（2）风控出款次数判断：1000；
2、运营管理-风控玩家-自动出风控配置：
（1）付费率代理风控：关闭；
</t>
    </r>
    <r>
      <rPr>
        <b/>
        <sz val="10"/>
        <color theme="1"/>
        <rFont val="微软雅黑"/>
        <family val="2"/>
        <charset val="134"/>
      </rPr>
      <t>（2）付费率代理风控（直推贡献）：开启；
    1）直推贡献出风控配置：不配置；</t>
    </r>
    <r>
      <rPr>
        <sz val="10"/>
        <color theme="1"/>
        <rFont val="微软雅黑"/>
        <family val="2"/>
        <charset val="134"/>
      </rPr>
      <t xml:space="preserve">
3、运营管理-风控玩家-付费率代理风控配置：1,100|2,50
4、代理A直推贡献&lt;历史总佣金；</t>
    </r>
    <phoneticPr fontId="20" type="noConversion"/>
  </si>
  <si>
    <t>下级充值后，仍需保持代理A直推贡献&lt;历史总佣金</t>
    <phoneticPr fontId="20" type="noConversion"/>
  </si>
  <si>
    <t>1、修改付费率代理风控配置：1,100|2,50|3,100；
2、下级b充值10，查看是否进风控；</t>
    <phoneticPr fontId="20" type="noConversion"/>
  </si>
  <si>
    <r>
      <t xml:space="preserve">1、配置管理：
（1）风控充值次数判断：1000；
（2）风控出款次数判断：1000；
2、运营管理-风控玩家-自动出风控配置：
（1）付费率代理风控：关闭；
</t>
    </r>
    <r>
      <rPr>
        <b/>
        <sz val="10"/>
        <color theme="1"/>
        <rFont val="微软雅黑"/>
        <family val="2"/>
        <charset val="134"/>
      </rPr>
      <t>（2）付费率代理风控（直推贡献）：开启；
    1）直推贡献出风控配置：不配置；</t>
    </r>
    <r>
      <rPr>
        <sz val="10"/>
        <color theme="1"/>
        <rFont val="微软雅黑"/>
        <family val="2"/>
        <charset val="134"/>
      </rPr>
      <t xml:space="preserve">
3、运营管理-风控玩家-付费率代理风控配置：1,100|2,50.01
4、代理A直推贡献&lt;历史总佣金；</t>
    </r>
    <phoneticPr fontId="20" type="noConversion"/>
  </si>
  <si>
    <r>
      <t xml:space="preserve">1、配置管理：
（1）风控充值次数判断：1000；
（2）风控出款次数判断：1000；
2、运营管理-风控玩家-自动出风控配置：
（1）付费率代理风控：关闭；
</t>
    </r>
    <r>
      <rPr>
        <b/>
        <sz val="10"/>
        <color theme="1"/>
        <rFont val="微软雅黑"/>
        <family val="2"/>
        <charset val="134"/>
      </rPr>
      <t>（2）付费率代理风控（直推贡献）：开启；
    1）直推贡献出风控配置：不配置；</t>
    </r>
    <r>
      <rPr>
        <sz val="10"/>
        <color theme="1"/>
        <rFont val="微软雅黑"/>
        <family val="2"/>
        <charset val="134"/>
      </rPr>
      <t xml:space="preserve">
3、运营管理-风控玩家-付费率代理风控配置：1,100|3,50
4、代理A直推贡献&lt;历史总佣金；</t>
    </r>
    <phoneticPr fontId="20" type="noConversion"/>
  </si>
  <si>
    <r>
      <t xml:space="preserve">1、配置管理：
（1）风控充值次数判断：1000；
（2）风控出款次数判断：1000；
2、运营管理-风控玩家-自动出风控配置：
（1）付费率代理风控：关闭；
</t>
    </r>
    <r>
      <rPr>
        <b/>
        <sz val="10"/>
        <color theme="1"/>
        <rFont val="微软雅黑"/>
        <family val="2"/>
        <charset val="134"/>
      </rPr>
      <t>（2）付费率代理风控（直推贡献）：开启；
    1）直推贡献出风控配置：不配置；</t>
    </r>
    <r>
      <rPr>
        <sz val="10"/>
        <color theme="1"/>
        <rFont val="微软雅黑"/>
        <family val="2"/>
        <charset val="134"/>
      </rPr>
      <t xml:space="preserve">
3、运营管理-风控玩家-付费率代理风控配置：1,100|3,50.01
4、代理A直推贡献&lt;历史总佣金；</t>
    </r>
    <phoneticPr fontId="20" type="noConversion"/>
  </si>
  <si>
    <r>
      <t xml:space="preserve">1、配置管理：
（1）风控充值次数判断：1000；
（2）风控出款次数判断：1000；
2、运营管理-风控玩家-自动出风控配置：
（1）付费率代理风控：关闭；
</t>
    </r>
    <r>
      <rPr>
        <b/>
        <sz val="10"/>
        <color theme="1"/>
        <rFont val="微软雅黑"/>
        <family val="2"/>
        <charset val="134"/>
      </rPr>
      <t>（2）付费率代理风控（直推贡献）：开启；
    1）直推贡献出风控配置：不配置；</t>
    </r>
    <r>
      <rPr>
        <sz val="10"/>
        <color theme="1"/>
        <rFont val="微软雅黑"/>
        <family val="2"/>
        <charset val="134"/>
      </rPr>
      <t xml:space="preserve">
3、运营管理-风控玩家-付费率代理风控配置：1,100|2,50
4、代理A直推贡献=历史总佣金；</t>
    </r>
    <phoneticPr fontId="20" type="noConversion"/>
  </si>
  <si>
    <t>下级充值后，仍需保持代理A直推贡献值=历史总佣金</t>
    <phoneticPr fontId="20" type="noConversion"/>
  </si>
  <si>
    <t>验证玩家出风控是否正确</t>
    <phoneticPr fontId="20" type="noConversion"/>
  </si>
  <si>
    <t>1、代理运营管理-风控玩家-自动出风控配置：
（1）付费率代理风控：开启；
（2）付费率代理风控（直推贡献）：关闭；
2、运营管理-风控玩家-付费率代理风控配置：1,100|3,33.34
3、代理A因自身进入风控1次，且已被移除1次；（具体操作可查看第3条）
4、代理A、下级a、下级b在风控中，付费率50%；</t>
    <phoneticPr fontId="20" type="noConversion"/>
  </si>
  <si>
    <t>新增下级c，下级c不充值，查看是否出风控；</t>
    <phoneticPr fontId="20" type="noConversion"/>
  </si>
  <si>
    <t>1、A：出；
2、a：出；
3、b：出；
4、d：出；</t>
    <phoneticPr fontId="20" type="noConversion"/>
  </si>
  <si>
    <t>1、代理运营管理-风控玩家-自动出风控配置：
（1）付费率代理风控：开启；
（2）付费率代理风控（直推贡献）：关闭；
2、运营管理-风控玩家-付费率代理风控配置：1,100|4,33.33
3、代理A因自身进入风控1次，且已被移除1次；（具体操作可查看第3条）
4、代理A、下级a、下级b在风控中，付费率50%；</t>
    <phoneticPr fontId="20" type="noConversion"/>
  </si>
  <si>
    <t>1、代理运营管理-风控玩家-自动出风控配置：
（1）付费率代理风控：开启；
（2）付费率代理风控（直推贡献）：关闭；
2、运营管理-风控玩家-付费率代理风控配置：1,100|4,33.34
3、代理A因自身进入风控1次，且已被移除1次；（具体操作可查看第3条）
4、代理A、下级a、下级b在风控中，付费率50%；</t>
    <phoneticPr fontId="20" type="noConversion"/>
  </si>
  <si>
    <r>
      <t xml:space="preserve">1、运营管理-风控玩家-自动出风控配置：
（1）付费率代理风控：关闭；
</t>
    </r>
    <r>
      <rPr>
        <b/>
        <sz val="10"/>
        <color theme="1"/>
        <rFont val="微软雅黑"/>
        <family val="2"/>
        <charset val="134"/>
      </rPr>
      <t>（2）付费率代理风控（直推贡献）：开启；
    1）直推贡献出风控配置：100；</t>
    </r>
    <r>
      <rPr>
        <sz val="10"/>
        <color theme="1"/>
        <rFont val="微软雅黑"/>
        <family val="2"/>
        <charset val="134"/>
      </rPr>
      <t xml:space="preserve">
2、运营管理-风控玩家-付费率代理风控配置：1,100|2,50
3、代理A因自身进入风控1次，且已被移除1次；（具体操作可查看第3条）
4、代理A、下级a、下级b在风控中，代理A直推贡献：100；</t>
    </r>
    <phoneticPr fontId="20" type="noConversion"/>
  </si>
  <si>
    <r>
      <t xml:space="preserve">1、运营管理-风控玩家-自动出风控配置：
（1）付费率代理风控：关闭；
</t>
    </r>
    <r>
      <rPr>
        <b/>
        <sz val="10"/>
        <color theme="1"/>
        <rFont val="微软雅黑"/>
        <family val="2"/>
        <charset val="134"/>
      </rPr>
      <t>（2）付费率代理风控（直推贡献）：开启；
    1）直推贡献出风控配置：不配置；</t>
    </r>
    <r>
      <rPr>
        <sz val="10"/>
        <color theme="1"/>
        <rFont val="微软雅黑"/>
        <family val="2"/>
        <charset val="134"/>
      </rPr>
      <t xml:space="preserve">
2、运营管理-风控玩家-付费率代理风控配置：1,100|2,50
3、代理A因自身进入风控1次，且已被移除1次；（具体操作可查看第3条）
4、代理A、下级a、下级b在风控中，代理A直推贡献=历史总佣金；</t>
    </r>
    <phoneticPr fontId="20" type="noConversion"/>
  </si>
  <si>
    <t>其余配置或条件，均不出风控</t>
    <phoneticPr fontId="20" type="noConversion"/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</si>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</sst>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2" fillId="10" borderId="4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12" fillId="11" borderId="3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left" vertical="center" wrapText="1"/>
    </xf>
    <xf numFmtId="0" fontId="12" fillId="10" borderId="4" xfId="0" applyFont="1" applyFill="1" applyBorder="1" applyAlignment="1">
      <alignment horizontal="left" vertical="center" wrapText="1"/>
    </xf>
    <xf numFmtId="0" fontId="15" fillId="7" borderId="1" xfId="2" applyFont="1" applyFill="1" applyBorder="1" applyAlignment="1">
      <alignment horizontal="center" vertical="center" wrapText="1"/>
    </xf>
    <xf numFmtId="0" fontId="21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vertical="center" wrapText="1"/>
    </xf>
    <xf numFmtId="0" fontId="12" fillId="8" borderId="4" xfId="0" applyFont="1" applyFill="1" applyBorder="1" applyAlignment="1">
      <alignment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4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2" fillId="9" borderId="3" xfId="0" applyFont="1" applyFill="1" applyBorder="1" applyAlignment="1">
      <alignment horizontal="left" vertical="center" wrapText="1"/>
    </xf>
    <xf numFmtId="0" fontId="12" fillId="9" borderId="4" xfId="0" applyFont="1" applyFill="1" applyBorder="1" applyAlignment="1">
      <alignment horizontal="left" vertical="center" wrapText="1"/>
    </xf>
  </cellXfs>
  <cellStyles count="3">
    <cellStyle name="常规" xfId="0" builtinId="0"/>
    <cellStyle name="超链接" xfId="1" builtinId="8"/>
    <cellStyle name="一般 10" xfId="2" xr:uid="{00000000-0005-0000-0000-000002000000}"/>
  </cellStyles>
  <dxfs count="18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3"/>
  <sheetViews>
    <sheetView tabSelected="1" workbookViewId="0">
      <pane ySplit="8" topLeftCell="A36" activePane="bottomLeft" state="frozen"/>
      <selection pane="bottomLeft" activeCell="F37" sqref="F37"/>
    </sheetView>
  </sheetViews>
  <sheetFormatPr defaultColWidth="9" defaultRowHeight="13.5"/>
  <cols>
    <col min="1" max="1" width="12.625" style="4" bestFit="1" customWidth="1"/>
    <col min="2" max="2" width="8" style="4" customWidth="1"/>
    <col min="3" max="3" width="15.875" style="3" bestFit="1" customWidth="1"/>
    <col min="4" max="4" width="20.375" style="3" bestFit="1" customWidth="1"/>
    <col min="5" max="5" width="57.125" style="3" customWidth="1"/>
    <col min="6" max="6" width="47.75" style="3" customWidth="1"/>
    <col min="7" max="7" width="16" style="3" customWidth="1"/>
    <col min="8" max="8" width="9" style="27"/>
    <col min="9" max="9" width="40.375" style="3" customWidth="1"/>
    <col min="10" max="16384" width="9" style="3"/>
  </cols>
  <sheetData>
    <row r="1" spans="1:9" ht="17.25">
      <c r="A1" s="63" t="s">
        <v>0</v>
      </c>
      <c r="B1" s="64"/>
      <c r="C1" s="64"/>
      <c r="D1" s="64"/>
      <c r="E1" s="64"/>
      <c r="F1" s="64"/>
      <c r="G1" s="5" t="s">
        <v>1</v>
      </c>
      <c r="H1" s="6">
        <f>H2+H3+H4</f>
        <v>52</v>
      </c>
    </row>
    <row r="2" spans="1:9" ht="17.25">
      <c r="A2" s="7" t="s">
        <v>2</v>
      </c>
      <c r="B2" s="7"/>
      <c r="C2" s="8"/>
      <c r="D2" s="8"/>
      <c r="E2" s="9" t="s">
        <v>3</v>
      </c>
      <c r="F2" s="8"/>
      <c r="G2" s="10" t="s">
        <v>4</v>
      </c>
      <c r="H2" s="10">
        <f>COUNTIF(H9:H316,"Pass")</f>
        <v>52</v>
      </c>
    </row>
    <row r="3" spans="1:9" ht="17.25">
      <c r="A3" s="7" t="s">
        <v>5</v>
      </c>
      <c r="B3" s="7"/>
      <c r="C3" s="11"/>
      <c r="D3" s="11"/>
      <c r="E3" s="9" t="s">
        <v>6</v>
      </c>
      <c r="F3" s="12"/>
      <c r="G3" s="13" t="s">
        <v>7</v>
      </c>
      <c r="H3" s="13">
        <f>COUNTIF(H9:H316,"Fail")</f>
        <v>0</v>
      </c>
    </row>
    <row r="4" spans="1:9" ht="17.25">
      <c r="A4" s="9" t="s">
        <v>8</v>
      </c>
      <c r="B4" s="9"/>
      <c r="C4" s="8"/>
      <c r="D4" s="8"/>
      <c r="E4" s="7" t="s">
        <v>9</v>
      </c>
      <c r="F4" s="14"/>
      <c r="G4" s="15" t="s">
        <v>10</v>
      </c>
      <c r="H4" s="15">
        <f>COUNTIF(H9:H316,"N/A")</f>
        <v>0</v>
      </c>
    </row>
    <row r="5" spans="1:9" ht="17.25">
      <c r="A5" s="7" t="s">
        <v>11</v>
      </c>
      <c r="B5" s="7"/>
      <c r="C5" s="8"/>
      <c r="D5" s="8"/>
      <c r="E5" s="9" t="s">
        <v>12</v>
      </c>
      <c r="F5" s="14"/>
    </row>
    <row r="6" spans="1:9" ht="17.25">
      <c r="A6" s="16" t="s">
        <v>13</v>
      </c>
      <c r="B6" s="16"/>
      <c r="C6" s="65"/>
      <c r="D6" s="65"/>
      <c r="E6" s="65"/>
      <c r="F6" s="65"/>
      <c r="G6" s="17"/>
    </row>
    <row r="8" spans="1:9" ht="16.5">
      <c r="A8" s="18" t="s">
        <v>14</v>
      </c>
      <c r="B8" s="18" t="s">
        <v>15</v>
      </c>
      <c r="C8" s="18" t="s">
        <v>16</v>
      </c>
      <c r="D8" s="18" t="s">
        <v>17</v>
      </c>
      <c r="E8" s="18" t="s">
        <v>18</v>
      </c>
      <c r="F8" s="18" t="s">
        <v>19</v>
      </c>
      <c r="G8" s="18" t="s">
        <v>20</v>
      </c>
      <c r="H8" s="18" t="s">
        <v>21</v>
      </c>
      <c r="I8" s="18" t="s">
        <v>22</v>
      </c>
    </row>
    <row r="9" spans="1:9" ht="36" customHeight="1">
      <c r="A9" s="19">
        <v>1</v>
      </c>
      <c r="B9" s="45" t="s">
        <v>23</v>
      </c>
      <c r="C9" s="45" t="s">
        <v>24</v>
      </c>
      <c r="D9" s="45" t="s">
        <v>25</v>
      </c>
      <c r="E9" s="69" t="s">
        <v>26</v>
      </c>
      <c r="F9" s="32" t="s">
        <v>27</v>
      </c>
      <c r="G9" s="32" t="s">
        <v>28</v>
      </c>
      <c r="H9" s="28" t="s">
        <v>4</v>
      </c>
      <c r="I9" s="41" t="s">
        <v>29</v>
      </c>
    </row>
    <row r="10" spans="1:9" ht="36" customHeight="1">
      <c r="A10" s="19">
        <v>2</v>
      </c>
      <c r="B10" s="46"/>
      <c r="C10" s="46"/>
      <c r="D10" s="46"/>
      <c r="E10" s="71"/>
      <c r="F10" s="32" t="s">
        <v>30</v>
      </c>
      <c r="G10" s="32" t="s">
        <v>31</v>
      </c>
      <c r="H10" s="28" t="s">
        <v>4</v>
      </c>
      <c r="I10" s="41" t="s">
        <v>32</v>
      </c>
    </row>
    <row r="11" spans="1:9" ht="52.5" customHeight="1">
      <c r="A11" s="19">
        <v>3</v>
      </c>
      <c r="B11" s="46"/>
      <c r="C11" s="46"/>
      <c r="D11" s="46"/>
      <c r="E11" s="71"/>
      <c r="F11" s="32" t="s">
        <v>33</v>
      </c>
      <c r="G11" s="32" t="s">
        <v>34</v>
      </c>
      <c r="H11" s="28" t="s">
        <v>4</v>
      </c>
      <c r="I11" s="41" t="s">
        <v>35</v>
      </c>
    </row>
    <row r="12" spans="1:9" ht="70.5" customHeight="1">
      <c r="A12" s="19">
        <v>4</v>
      </c>
      <c r="B12" s="46"/>
      <c r="C12" s="46"/>
      <c r="D12" s="46"/>
      <c r="E12" s="71"/>
      <c r="F12" s="32" t="s">
        <v>36</v>
      </c>
      <c r="G12" s="32" t="s">
        <v>37</v>
      </c>
      <c r="H12" s="28" t="s">
        <v>4</v>
      </c>
      <c r="I12" s="41" t="s">
        <v>38</v>
      </c>
    </row>
    <row r="13" spans="1:9" ht="70.5" customHeight="1">
      <c r="A13" s="19">
        <v>5</v>
      </c>
      <c r="B13" s="46"/>
      <c r="C13" s="46"/>
      <c r="D13" s="46"/>
      <c r="E13" s="70"/>
      <c r="F13" s="32" t="s">
        <v>39</v>
      </c>
      <c r="G13" s="32" t="s">
        <v>40</v>
      </c>
      <c r="H13" s="28" t="s">
        <v>4</v>
      </c>
      <c r="I13" s="41" t="s">
        <v>41</v>
      </c>
    </row>
    <row r="14" spans="1:9" ht="60" customHeight="1">
      <c r="A14" s="19">
        <v>6</v>
      </c>
      <c r="B14" s="46"/>
      <c r="C14" s="46"/>
      <c r="D14" s="46"/>
      <c r="E14" s="66" t="s">
        <v>42</v>
      </c>
      <c r="F14" s="32" t="s">
        <v>43</v>
      </c>
      <c r="G14" s="32" t="s">
        <v>31</v>
      </c>
      <c r="H14" s="28" t="s">
        <v>4</v>
      </c>
      <c r="I14" s="41" t="s">
        <v>32</v>
      </c>
    </row>
    <row r="15" spans="1:9" ht="60" customHeight="1">
      <c r="A15" s="19">
        <v>7</v>
      </c>
      <c r="B15" s="46"/>
      <c r="C15" s="46"/>
      <c r="D15" s="46"/>
      <c r="E15" s="66"/>
      <c r="F15" s="32" t="s">
        <v>33</v>
      </c>
      <c r="G15" s="32" t="s">
        <v>44</v>
      </c>
      <c r="H15" s="28" t="s">
        <v>4</v>
      </c>
      <c r="I15" s="41" t="s">
        <v>45</v>
      </c>
    </row>
    <row r="16" spans="1:9" ht="60" customHeight="1">
      <c r="A16" s="19">
        <v>8</v>
      </c>
      <c r="B16" s="46"/>
      <c r="C16" s="46"/>
      <c r="D16" s="46"/>
      <c r="E16" s="67" t="s">
        <v>46</v>
      </c>
      <c r="F16" s="33" t="s">
        <v>47</v>
      </c>
      <c r="G16" s="33" t="s">
        <v>31</v>
      </c>
      <c r="H16" s="28" t="s">
        <v>4</v>
      </c>
    </row>
    <row r="17" spans="1:8" ht="60" customHeight="1">
      <c r="A17" s="19">
        <v>9</v>
      </c>
      <c r="B17" s="46"/>
      <c r="C17" s="46"/>
      <c r="D17" s="46"/>
      <c r="E17" s="68"/>
      <c r="F17" s="33" t="s">
        <v>33</v>
      </c>
      <c r="G17" s="33" t="s">
        <v>44</v>
      </c>
      <c r="H17" s="28" t="s">
        <v>4</v>
      </c>
    </row>
    <row r="18" spans="1:8" ht="60" customHeight="1">
      <c r="A18" s="19">
        <v>10</v>
      </c>
      <c r="B18" s="46"/>
      <c r="C18" s="46"/>
      <c r="D18" s="46"/>
      <c r="E18" s="69" t="s">
        <v>48</v>
      </c>
      <c r="F18" s="32" t="s">
        <v>43</v>
      </c>
      <c r="G18" s="32" t="s">
        <v>31</v>
      </c>
      <c r="H18" s="28" t="s">
        <v>4</v>
      </c>
    </row>
    <row r="19" spans="1:8" ht="60" customHeight="1">
      <c r="A19" s="19">
        <v>11</v>
      </c>
      <c r="B19" s="46"/>
      <c r="C19" s="46"/>
      <c r="D19" s="46"/>
      <c r="E19" s="70"/>
      <c r="F19" s="32" t="s">
        <v>33</v>
      </c>
      <c r="G19" s="32" t="s">
        <v>44</v>
      </c>
      <c r="H19" s="28" t="s">
        <v>4</v>
      </c>
    </row>
    <row r="20" spans="1:8" ht="33" customHeight="1">
      <c r="A20" s="19">
        <v>12</v>
      </c>
      <c r="B20" s="46"/>
      <c r="C20" s="46"/>
      <c r="D20" s="46"/>
      <c r="E20" s="72" t="s">
        <v>49</v>
      </c>
      <c r="F20" s="34" t="s">
        <v>27</v>
      </c>
      <c r="G20" s="34" t="s">
        <v>28</v>
      </c>
      <c r="H20" s="28" t="s">
        <v>4</v>
      </c>
    </row>
    <row r="21" spans="1:8" ht="33" customHeight="1">
      <c r="A21" s="19">
        <v>13</v>
      </c>
      <c r="B21" s="46"/>
      <c r="C21" s="46"/>
      <c r="D21" s="46"/>
      <c r="E21" s="73"/>
      <c r="F21" s="34" t="s">
        <v>30</v>
      </c>
      <c r="G21" s="34" t="s">
        <v>31</v>
      </c>
      <c r="H21" s="28" t="s">
        <v>4</v>
      </c>
    </row>
    <row r="22" spans="1:8" ht="47.25" customHeight="1">
      <c r="A22" s="19">
        <v>14</v>
      </c>
      <c r="B22" s="46"/>
      <c r="C22" s="46"/>
      <c r="D22" s="46"/>
      <c r="E22" s="73"/>
      <c r="F22" s="34" t="s">
        <v>33</v>
      </c>
      <c r="G22" s="34" t="s">
        <v>34</v>
      </c>
      <c r="H22" s="28" t="s">
        <v>4</v>
      </c>
    </row>
    <row r="23" spans="1:8" ht="69" customHeight="1">
      <c r="A23" s="19">
        <v>15</v>
      </c>
      <c r="B23" s="46"/>
      <c r="C23" s="46"/>
      <c r="D23" s="46"/>
      <c r="E23" s="73"/>
      <c r="F23" s="34" t="s">
        <v>36</v>
      </c>
      <c r="G23" s="34" t="s">
        <v>37</v>
      </c>
      <c r="H23" s="28" t="s">
        <v>4</v>
      </c>
    </row>
    <row r="24" spans="1:8" ht="69" customHeight="1">
      <c r="A24" s="19">
        <v>16</v>
      </c>
      <c r="B24" s="46"/>
      <c r="C24" s="46"/>
      <c r="D24" s="46"/>
      <c r="E24" s="74"/>
      <c r="F24" s="34" t="s">
        <v>39</v>
      </c>
      <c r="G24" s="34" t="s">
        <v>40</v>
      </c>
      <c r="H24" s="28" t="s">
        <v>4</v>
      </c>
    </row>
    <row r="25" spans="1:8" ht="59.25" customHeight="1">
      <c r="A25" s="19">
        <v>17</v>
      </c>
      <c r="B25" s="46"/>
      <c r="C25" s="46"/>
      <c r="D25" s="46"/>
      <c r="E25" s="72" t="s">
        <v>50</v>
      </c>
      <c r="F25" s="34" t="s">
        <v>43</v>
      </c>
      <c r="G25" s="34" t="s">
        <v>51</v>
      </c>
      <c r="H25" s="28" t="s">
        <v>4</v>
      </c>
    </row>
    <row r="26" spans="1:8" ht="59.25" customHeight="1">
      <c r="A26" s="19">
        <v>18</v>
      </c>
      <c r="B26" s="46"/>
      <c r="C26" s="46"/>
      <c r="D26" s="46"/>
      <c r="E26" s="74"/>
      <c r="F26" s="34" t="s">
        <v>52</v>
      </c>
      <c r="G26" s="34" t="s">
        <v>53</v>
      </c>
      <c r="H26" s="28" t="s">
        <v>4</v>
      </c>
    </row>
    <row r="27" spans="1:8" ht="63.75" customHeight="1">
      <c r="A27" s="19">
        <v>19</v>
      </c>
      <c r="B27" s="46"/>
      <c r="C27" s="46"/>
      <c r="D27" s="46"/>
      <c r="E27" s="72" t="s">
        <v>54</v>
      </c>
      <c r="F27" s="34" t="s">
        <v>47</v>
      </c>
      <c r="G27" s="34" t="s">
        <v>31</v>
      </c>
      <c r="H27" s="28" t="s">
        <v>4</v>
      </c>
    </row>
    <row r="28" spans="1:8" ht="63.75" customHeight="1">
      <c r="A28" s="19">
        <v>20</v>
      </c>
      <c r="B28" s="46"/>
      <c r="C28" s="46"/>
      <c r="D28" s="46"/>
      <c r="E28" s="74"/>
      <c r="F28" s="34" t="s">
        <v>52</v>
      </c>
      <c r="G28" s="34" t="s">
        <v>53</v>
      </c>
      <c r="H28" s="28" t="s">
        <v>4</v>
      </c>
    </row>
    <row r="29" spans="1:8" s="31" customFormat="1" ht="51" customHeight="1">
      <c r="A29" s="19">
        <v>21</v>
      </c>
      <c r="B29" s="46"/>
      <c r="C29" s="46"/>
      <c r="D29" s="46"/>
      <c r="E29" s="72" t="s">
        <v>55</v>
      </c>
      <c r="F29" s="35" t="s">
        <v>47</v>
      </c>
      <c r="G29" s="35" t="s">
        <v>31</v>
      </c>
      <c r="H29" s="42" t="s">
        <v>4</v>
      </c>
    </row>
    <row r="30" spans="1:8" ht="72" customHeight="1">
      <c r="A30" s="19">
        <v>22</v>
      </c>
      <c r="B30" s="46"/>
      <c r="C30" s="46"/>
      <c r="D30" s="46"/>
      <c r="E30" s="74"/>
      <c r="F30" s="34" t="s">
        <v>52</v>
      </c>
      <c r="G30" s="34" t="s">
        <v>53</v>
      </c>
      <c r="H30" s="28" t="s">
        <v>4</v>
      </c>
    </row>
    <row r="31" spans="1:8" s="30" customFormat="1" ht="48" customHeight="1">
      <c r="A31" s="19">
        <v>23</v>
      </c>
      <c r="B31" s="46"/>
      <c r="C31" s="46"/>
      <c r="D31" s="46"/>
      <c r="E31" s="59" t="s">
        <v>56</v>
      </c>
      <c r="F31" s="36" t="s">
        <v>57</v>
      </c>
      <c r="G31" s="36" t="s">
        <v>31</v>
      </c>
      <c r="H31" s="43" t="s">
        <v>4</v>
      </c>
    </row>
    <row r="32" spans="1:8" ht="63.75" customHeight="1">
      <c r="A32" s="19">
        <v>24</v>
      </c>
      <c r="B32" s="46"/>
      <c r="C32" s="46"/>
      <c r="D32" s="46"/>
      <c r="E32" s="60"/>
      <c r="F32" s="38" t="s">
        <v>33</v>
      </c>
      <c r="G32" s="38" t="s">
        <v>34</v>
      </c>
      <c r="H32" s="28" t="s">
        <v>4</v>
      </c>
    </row>
    <row r="33" spans="1:9" ht="63.75" customHeight="1">
      <c r="A33" s="19">
        <v>25</v>
      </c>
      <c r="B33" s="46"/>
      <c r="C33" s="46"/>
      <c r="D33" s="46"/>
      <c r="E33" s="60"/>
      <c r="F33" s="38" t="s">
        <v>58</v>
      </c>
      <c r="G33" s="38" t="s">
        <v>37</v>
      </c>
      <c r="H33" s="28" t="s">
        <v>4</v>
      </c>
    </row>
    <row r="34" spans="1:9" ht="63.75" customHeight="1">
      <c r="A34" s="19">
        <v>26</v>
      </c>
      <c r="B34" s="46"/>
      <c r="C34" s="46"/>
      <c r="D34" s="46"/>
      <c r="E34" s="61"/>
      <c r="F34" s="38" t="s">
        <v>59</v>
      </c>
      <c r="G34" s="38" t="s">
        <v>40</v>
      </c>
      <c r="H34" s="28" t="s">
        <v>4</v>
      </c>
    </row>
    <row r="35" spans="1:9" ht="78.75" customHeight="1">
      <c r="A35" s="19">
        <v>27</v>
      </c>
      <c r="B35" s="46"/>
      <c r="C35" s="46"/>
      <c r="D35" s="46"/>
      <c r="E35" s="59" t="s">
        <v>60</v>
      </c>
      <c r="F35" s="38" t="s">
        <v>57</v>
      </c>
      <c r="G35" s="38" t="s">
        <v>31</v>
      </c>
      <c r="H35" s="28" t="s">
        <v>4</v>
      </c>
    </row>
    <row r="36" spans="1:9" ht="78.75" customHeight="1">
      <c r="A36" s="19">
        <v>28</v>
      </c>
      <c r="B36" s="46"/>
      <c r="C36" s="46"/>
      <c r="D36" s="46"/>
      <c r="E36" s="60"/>
      <c r="F36" s="38" t="s">
        <v>33</v>
      </c>
      <c r="G36" s="38" t="s">
        <v>44</v>
      </c>
      <c r="H36" s="28" t="s">
        <v>4</v>
      </c>
    </row>
    <row r="37" spans="1:9" ht="86.25" customHeight="1">
      <c r="A37" s="19">
        <v>29</v>
      </c>
      <c r="B37" s="46"/>
      <c r="C37" s="46"/>
      <c r="D37" s="46"/>
      <c r="E37" s="59" t="s">
        <v>61</v>
      </c>
      <c r="F37" s="38" t="s">
        <v>57</v>
      </c>
      <c r="G37" s="38" t="s">
        <v>31</v>
      </c>
      <c r="H37" s="28" t="s">
        <v>4</v>
      </c>
    </row>
    <row r="38" spans="1:9" ht="86.25" customHeight="1">
      <c r="A38" s="19">
        <v>30</v>
      </c>
      <c r="B38" s="46"/>
      <c r="C38" s="46"/>
      <c r="D38" s="46"/>
      <c r="E38" s="60"/>
      <c r="F38" s="38" t="s">
        <v>33</v>
      </c>
      <c r="G38" s="38" t="s">
        <v>44</v>
      </c>
      <c r="H38" s="28" t="s">
        <v>4</v>
      </c>
    </row>
    <row r="39" spans="1:9" s="31" customFormat="1" ht="79.5" customHeight="1">
      <c r="A39" s="19">
        <v>31</v>
      </c>
      <c r="B39" s="46"/>
      <c r="C39" s="46"/>
      <c r="D39" s="46"/>
      <c r="E39" s="55" t="s">
        <v>62</v>
      </c>
      <c r="F39" s="38" t="s">
        <v>57</v>
      </c>
      <c r="G39" s="37" t="s">
        <v>31</v>
      </c>
      <c r="H39" s="42" t="s">
        <v>4</v>
      </c>
    </row>
    <row r="40" spans="1:9" ht="79.5" customHeight="1">
      <c r="A40" s="19">
        <v>32</v>
      </c>
      <c r="B40" s="46"/>
      <c r="C40" s="46"/>
      <c r="D40" s="46"/>
      <c r="E40" s="55"/>
      <c r="F40" s="38" t="s">
        <v>33</v>
      </c>
      <c r="G40" s="38" t="s">
        <v>44</v>
      </c>
      <c r="H40" s="28" t="s">
        <v>4</v>
      </c>
    </row>
    <row r="41" spans="1:9" s="30" customFormat="1" ht="76.5" customHeight="1">
      <c r="A41" s="19">
        <v>33</v>
      </c>
      <c r="B41" s="46"/>
      <c r="C41" s="46"/>
      <c r="D41" s="46"/>
      <c r="E41" s="55" t="s">
        <v>63</v>
      </c>
      <c r="F41" s="38" t="s">
        <v>57</v>
      </c>
      <c r="G41" s="37" t="s">
        <v>31</v>
      </c>
      <c r="H41" s="42" t="s">
        <v>4</v>
      </c>
    </row>
    <row r="42" spans="1:9" s="30" customFormat="1" ht="76.5" customHeight="1">
      <c r="A42" s="19">
        <v>34</v>
      </c>
      <c r="B42" s="46"/>
      <c r="C42" s="46"/>
      <c r="D42" s="46"/>
      <c r="E42" s="55"/>
      <c r="F42" s="38" t="s">
        <v>33</v>
      </c>
      <c r="G42" s="38" t="s">
        <v>44</v>
      </c>
      <c r="H42" s="28" t="s">
        <v>4</v>
      </c>
    </row>
    <row r="43" spans="1:9" s="30" customFormat="1" ht="51" customHeight="1">
      <c r="A43" s="19">
        <v>35</v>
      </c>
      <c r="B43" s="46"/>
      <c r="C43" s="46"/>
      <c r="D43" s="46"/>
      <c r="E43" s="56" t="s">
        <v>64</v>
      </c>
      <c r="F43" s="39" t="s">
        <v>43</v>
      </c>
      <c r="G43" s="39" t="s">
        <v>31</v>
      </c>
      <c r="H43" s="28" t="s">
        <v>4</v>
      </c>
      <c r="I43" s="52" t="s">
        <v>65</v>
      </c>
    </row>
    <row r="44" spans="1:9" ht="51" customHeight="1">
      <c r="A44" s="19">
        <v>36</v>
      </c>
      <c r="B44" s="46"/>
      <c r="C44" s="46"/>
      <c r="D44" s="46"/>
      <c r="E44" s="57"/>
      <c r="F44" s="40" t="s">
        <v>33</v>
      </c>
      <c r="G44" s="40" t="s">
        <v>34</v>
      </c>
      <c r="H44" s="42" t="s">
        <v>4</v>
      </c>
      <c r="I44" s="54"/>
    </row>
    <row r="45" spans="1:9" ht="79.5" customHeight="1">
      <c r="A45" s="19">
        <v>37</v>
      </c>
      <c r="B45" s="46"/>
      <c r="C45" s="46"/>
      <c r="D45" s="46"/>
      <c r="E45" s="57"/>
      <c r="F45" s="40" t="s">
        <v>36</v>
      </c>
      <c r="G45" s="40" t="s">
        <v>37</v>
      </c>
      <c r="H45" s="28" t="s">
        <v>4</v>
      </c>
      <c r="I45" s="54"/>
    </row>
    <row r="46" spans="1:9" ht="79.5" customHeight="1">
      <c r="A46" s="19">
        <v>38</v>
      </c>
      <c r="B46" s="46"/>
      <c r="C46" s="46"/>
      <c r="D46" s="46"/>
      <c r="E46" s="58"/>
      <c r="F46" s="40" t="s">
        <v>66</v>
      </c>
      <c r="G46" s="40" t="s">
        <v>40</v>
      </c>
      <c r="H46" s="42" t="s">
        <v>4</v>
      </c>
      <c r="I46" s="54"/>
    </row>
    <row r="47" spans="1:9" ht="79.5" customHeight="1">
      <c r="A47" s="19">
        <v>39</v>
      </c>
      <c r="B47" s="46"/>
      <c r="C47" s="46"/>
      <c r="D47" s="46"/>
      <c r="E47" s="56" t="s">
        <v>67</v>
      </c>
      <c r="F47" s="40" t="s">
        <v>43</v>
      </c>
      <c r="G47" s="40" t="s">
        <v>31</v>
      </c>
      <c r="H47" s="28" t="s">
        <v>4</v>
      </c>
      <c r="I47" s="54"/>
    </row>
    <row r="48" spans="1:9" ht="79.5" customHeight="1">
      <c r="A48" s="19">
        <v>40</v>
      </c>
      <c r="B48" s="46"/>
      <c r="C48" s="46"/>
      <c r="D48" s="46"/>
      <c r="E48" s="57"/>
      <c r="F48" s="40" t="s">
        <v>33</v>
      </c>
      <c r="G48" s="40" t="s">
        <v>44</v>
      </c>
      <c r="H48" s="28" t="s">
        <v>4</v>
      </c>
      <c r="I48" s="54"/>
    </row>
    <row r="49" spans="1:9" ht="74.25" customHeight="1">
      <c r="A49" s="19">
        <v>41</v>
      </c>
      <c r="B49" s="46"/>
      <c r="C49" s="46"/>
      <c r="D49" s="46"/>
      <c r="E49" s="51" t="s">
        <v>68</v>
      </c>
      <c r="F49" s="40" t="s">
        <v>43</v>
      </c>
      <c r="G49" s="40" t="s">
        <v>31</v>
      </c>
      <c r="H49" s="28" t="s">
        <v>4</v>
      </c>
      <c r="I49" s="54"/>
    </row>
    <row r="50" spans="1:9" ht="74.25" customHeight="1">
      <c r="A50" s="19">
        <v>42</v>
      </c>
      <c r="B50" s="46"/>
      <c r="C50" s="46"/>
      <c r="D50" s="46"/>
      <c r="E50" s="51"/>
      <c r="F50" s="40" t="s">
        <v>33</v>
      </c>
      <c r="G50" s="40" t="s">
        <v>44</v>
      </c>
      <c r="H50" s="28" t="s">
        <v>4</v>
      </c>
      <c r="I50" s="54"/>
    </row>
    <row r="51" spans="1:9" ht="79.5" customHeight="1">
      <c r="A51" s="19">
        <v>43</v>
      </c>
      <c r="B51" s="46"/>
      <c r="C51" s="46"/>
      <c r="D51" s="46"/>
      <c r="E51" s="51" t="s">
        <v>69</v>
      </c>
      <c r="F51" s="40" t="s">
        <v>43</v>
      </c>
      <c r="G51" s="40" t="s">
        <v>31</v>
      </c>
      <c r="H51" s="28" t="s">
        <v>4</v>
      </c>
      <c r="I51" s="54"/>
    </row>
    <row r="52" spans="1:9" ht="79.5" customHeight="1">
      <c r="A52" s="19">
        <v>44</v>
      </c>
      <c r="B52" s="46"/>
      <c r="C52" s="46"/>
      <c r="D52" s="46"/>
      <c r="E52" s="51"/>
      <c r="F52" s="40" t="s">
        <v>33</v>
      </c>
      <c r="G52" s="40" t="s">
        <v>44</v>
      </c>
      <c r="H52" s="28" t="s">
        <v>4</v>
      </c>
      <c r="I52" s="53"/>
    </row>
    <row r="53" spans="1:9" ht="80.25" customHeight="1">
      <c r="A53" s="19">
        <v>45</v>
      </c>
      <c r="B53" s="46"/>
      <c r="C53" s="46"/>
      <c r="D53" s="46"/>
      <c r="E53" s="51" t="s">
        <v>70</v>
      </c>
      <c r="F53" s="40" t="s">
        <v>43</v>
      </c>
      <c r="G53" s="40" t="s">
        <v>31</v>
      </c>
      <c r="H53" s="28" t="s">
        <v>4</v>
      </c>
      <c r="I53" s="52" t="s">
        <v>71</v>
      </c>
    </row>
    <row r="54" spans="1:9" ht="80.25" customHeight="1">
      <c r="A54" s="19">
        <v>46</v>
      </c>
      <c r="B54" s="46"/>
      <c r="C54" s="46"/>
      <c r="D54" s="47"/>
      <c r="E54" s="51"/>
      <c r="F54" s="40" t="s">
        <v>33</v>
      </c>
      <c r="G54" s="40" t="s">
        <v>44</v>
      </c>
      <c r="H54" s="28" t="s">
        <v>4</v>
      </c>
      <c r="I54" s="53"/>
    </row>
    <row r="55" spans="1:9" ht="108.75" customHeight="1">
      <c r="A55" s="19">
        <v>47</v>
      </c>
      <c r="B55" s="46"/>
      <c r="C55" s="46"/>
      <c r="D55" s="45" t="s">
        <v>72</v>
      </c>
      <c r="E55" s="44" t="s">
        <v>73</v>
      </c>
      <c r="F55" s="44" t="s">
        <v>74</v>
      </c>
      <c r="G55" s="44" t="s">
        <v>75</v>
      </c>
      <c r="H55" s="28" t="s">
        <v>4</v>
      </c>
    </row>
    <row r="56" spans="1:9" ht="108.75" customHeight="1">
      <c r="A56" s="19">
        <v>48</v>
      </c>
      <c r="B56" s="46"/>
      <c r="C56" s="46"/>
      <c r="D56" s="46"/>
      <c r="E56" s="44" t="s">
        <v>76</v>
      </c>
      <c r="F56" s="44" t="s">
        <v>74</v>
      </c>
      <c r="G56" s="44" t="s">
        <v>75</v>
      </c>
      <c r="H56" s="28" t="s">
        <v>4</v>
      </c>
    </row>
    <row r="57" spans="1:9" ht="108.75" customHeight="1">
      <c r="A57" s="19">
        <v>49</v>
      </c>
      <c r="B57" s="46"/>
      <c r="C57" s="46"/>
      <c r="D57" s="46"/>
      <c r="E57" s="44" t="s">
        <v>77</v>
      </c>
      <c r="F57" s="44" t="s">
        <v>74</v>
      </c>
      <c r="G57" s="44" t="s">
        <v>75</v>
      </c>
      <c r="H57" s="28" t="s">
        <v>4</v>
      </c>
    </row>
    <row r="58" spans="1:9" ht="137.25" customHeight="1">
      <c r="A58" s="19">
        <v>50</v>
      </c>
      <c r="B58" s="46"/>
      <c r="C58" s="46"/>
      <c r="D58" s="46"/>
      <c r="E58" s="44" t="s">
        <v>78</v>
      </c>
      <c r="F58" s="44" t="s">
        <v>74</v>
      </c>
      <c r="G58" s="44" t="s">
        <v>75</v>
      </c>
      <c r="H58" s="28" t="s">
        <v>4</v>
      </c>
    </row>
    <row r="59" spans="1:9" ht="134.25" customHeight="1">
      <c r="A59" s="19">
        <v>51</v>
      </c>
      <c r="B59" s="46"/>
      <c r="C59" s="46"/>
      <c r="D59" s="46"/>
      <c r="E59" s="44" t="s">
        <v>79</v>
      </c>
      <c r="F59" s="44" t="s">
        <v>74</v>
      </c>
      <c r="G59" s="44" t="s">
        <v>75</v>
      </c>
      <c r="H59" s="28" t="s">
        <v>4</v>
      </c>
    </row>
    <row r="60" spans="1:9" ht="31.5" customHeight="1">
      <c r="A60" s="19">
        <v>52</v>
      </c>
      <c r="B60" s="47"/>
      <c r="C60" s="47"/>
      <c r="D60" s="47"/>
      <c r="E60" s="48" t="s">
        <v>80</v>
      </c>
      <c r="F60" s="49"/>
      <c r="G60" s="50"/>
      <c r="H60" s="28" t="s">
        <v>4</v>
      </c>
    </row>
    <row r="61" spans="1:9" ht="24" customHeight="1">
      <c r="A61" s="19">
        <v>53</v>
      </c>
      <c r="B61" s="26"/>
      <c r="C61" s="26"/>
      <c r="D61" s="26"/>
      <c r="E61" s="26"/>
      <c r="F61" s="26"/>
      <c r="G61" s="26"/>
      <c r="H61" s="28"/>
    </row>
    <row r="62" spans="1:9" ht="24" customHeight="1">
      <c r="A62" s="19">
        <v>54</v>
      </c>
      <c r="B62" s="26"/>
      <c r="C62" s="26"/>
      <c r="F62" s="26"/>
      <c r="G62" s="26"/>
      <c r="H62" s="28"/>
    </row>
    <row r="63" spans="1:9" ht="24" customHeight="1">
      <c r="A63" s="19">
        <v>55</v>
      </c>
      <c r="B63" s="26"/>
      <c r="C63" s="26"/>
      <c r="D63" s="26"/>
      <c r="E63" s="26"/>
      <c r="F63" s="26"/>
      <c r="G63" s="26"/>
      <c r="H63" s="28"/>
    </row>
    <row r="64" spans="1:9" ht="24" customHeight="1">
      <c r="A64" s="19">
        <v>56</v>
      </c>
      <c r="B64" s="26"/>
      <c r="C64" s="26"/>
      <c r="D64" s="26"/>
      <c r="E64" s="26"/>
      <c r="F64" s="26"/>
      <c r="G64" s="26"/>
      <c r="H64" s="28"/>
    </row>
    <row r="65" spans="1:8" ht="24" customHeight="1">
      <c r="A65" s="19">
        <v>57</v>
      </c>
      <c r="B65" s="26"/>
      <c r="C65" s="26"/>
      <c r="D65" s="26"/>
      <c r="E65" s="26"/>
      <c r="F65" s="26"/>
      <c r="G65" s="26"/>
      <c r="H65" s="28"/>
    </row>
    <row r="66" spans="1:8" ht="24" customHeight="1">
      <c r="A66" s="19">
        <v>58</v>
      </c>
      <c r="B66" s="26"/>
      <c r="C66" s="26"/>
      <c r="D66" s="26"/>
      <c r="E66" s="26"/>
      <c r="F66" s="26"/>
      <c r="G66" s="26"/>
      <c r="H66" s="28"/>
    </row>
    <row r="67" spans="1:8" ht="24" customHeight="1">
      <c r="A67" s="19">
        <v>59</v>
      </c>
      <c r="B67" s="26"/>
      <c r="C67" s="26"/>
      <c r="D67" s="26"/>
      <c r="E67" s="26"/>
      <c r="F67" s="26"/>
      <c r="G67" s="26"/>
      <c r="H67" s="28"/>
    </row>
    <row r="68" spans="1:8" ht="24" customHeight="1">
      <c r="A68" s="19">
        <v>60</v>
      </c>
      <c r="B68" s="26"/>
      <c r="C68" s="26"/>
      <c r="D68" s="26"/>
      <c r="E68" s="26"/>
      <c r="F68" s="26"/>
      <c r="G68" s="26"/>
      <c r="H68" s="28"/>
    </row>
    <row r="69" spans="1:8" ht="24" customHeight="1">
      <c r="A69" s="19">
        <v>61</v>
      </c>
      <c r="B69" s="26"/>
      <c r="C69" s="26"/>
      <c r="D69" s="26"/>
      <c r="E69" s="26"/>
      <c r="F69" s="26"/>
      <c r="G69" s="26"/>
      <c r="H69" s="28"/>
    </row>
    <row r="70" spans="1:8" ht="24" customHeight="1">
      <c r="A70" s="19">
        <v>62</v>
      </c>
      <c r="B70" s="26"/>
      <c r="C70" s="26"/>
      <c r="D70" s="26"/>
      <c r="E70" s="26"/>
      <c r="F70" s="26"/>
      <c r="G70" s="26"/>
      <c r="H70" s="28"/>
    </row>
    <row r="71" spans="1:8" ht="24" customHeight="1">
      <c r="A71" s="19">
        <v>63</v>
      </c>
      <c r="B71" s="26"/>
      <c r="C71" s="26"/>
      <c r="D71" s="26"/>
      <c r="E71" s="26"/>
      <c r="F71" s="26"/>
      <c r="G71" s="26"/>
      <c r="H71" s="28"/>
    </row>
    <row r="72" spans="1:8" ht="24" customHeight="1">
      <c r="A72" s="19">
        <v>64</v>
      </c>
      <c r="B72" s="26"/>
      <c r="C72" s="26"/>
      <c r="D72" s="26"/>
      <c r="E72" s="26"/>
      <c r="F72" s="26"/>
      <c r="G72" s="26"/>
      <c r="H72" s="28"/>
    </row>
    <row r="73" spans="1:8" ht="24" customHeight="1">
      <c r="A73" s="19">
        <v>65</v>
      </c>
      <c r="B73" s="26"/>
      <c r="C73" s="26"/>
      <c r="D73" s="26"/>
      <c r="E73" s="26"/>
      <c r="F73" s="26"/>
      <c r="G73" s="26"/>
      <c r="H73" s="28"/>
    </row>
    <row r="74" spans="1:8" ht="24" customHeight="1">
      <c r="A74" s="19">
        <v>66</v>
      </c>
      <c r="B74" s="26"/>
      <c r="C74" s="26"/>
      <c r="D74" s="26"/>
      <c r="E74" s="26"/>
      <c r="F74" s="26"/>
      <c r="G74" s="26"/>
      <c r="H74" s="28"/>
    </row>
    <row r="75" spans="1:8" ht="18">
      <c r="A75" s="62" t="s">
        <v>81</v>
      </c>
      <c r="B75" s="62"/>
      <c r="C75" s="62"/>
      <c r="D75" s="62"/>
      <c r="E75" s="62"/>
      <c r="F75" s="62"/>
      <c r="G75" s="62"/>
      <c r="H75" s="62"/>
    </row>
    <row r="76" spans="1:8" ht="18">
      <c r="A76" s="62" t="s">
        <v>82</v>
      </c>
      <c r="B76" s="62"/>
      <c r="C76" s="62"/>
      <c r="D76" s="62"/>
      <c r="E76" s="62"/>
      <c r="F76" s="62"/>
      <c r="G76" s="62"/>
      <c r="H76" s="62"/>
    </row>
    <row r="77" spans="1:8" ht="17.25">
      <c r="A77" s="19"/>
      <c r="B77" s="19"/>
      <c r="C77" s="21"/>
      <c r="D77" s="21"/>
      <c r="E77" s="21"/>
      <c r="F77" s="21"/>
      <c r="G77" s="21"/>
      <c r="H77" s="22"/>
    </row>
    <row r="78" spans="1:8" ht="17.25">
      <c r="A78" s="19"/>
      <c r="B78" s="19"/>
      <c r="C78" s="21"/>
      <c r="D78" s="21"/>
      <c r="E78" s="21"/>
      <c r="F78" s="21"/>
      <c r="G78" s="21"/>
      <c r="H78" s="22"/>
    </row>
    <row r="79" spans="1:8" ht="17.25">
      <c r="A79" s="19"/>
      <c r="B79" s="19"/>
      <c r="C79" s="21"/>
      <c r="D79" s="21"/>
      <c r="E79" s="21"/>
      <c r="F79" s="21"/>
      <c r="G79" s="21"/>
      <c r="H79" s="22"/>
    </row>
    <row r="80" spans="1:8" ht="17.25">
      <c r="A80" s="19"/>
      <c r="B80" s="19"/>
      <c r="C80" s="21"/>
      <c r="D80" s="21"/>
      <c r="E80" s="21"/>
      <c r="F80" s="21"/>
      <c r="G80" s="21"/>
      <c r="H80" s="22"/>
    </row>
    <row r="81" spans="1:8" ht="17.25">
      <c r="A81" s="19"/>
      <c r="B81" s="19"/>
      <c r="C81" s="21"/>
      <c r="D81" s="21"/>
      <c r="E81" s="21"/>
      <c r="F81" s="21"/>
      <c r="G81" s="21"/>
      <c r="H81" s="22"/>
    </row>
    <row r="82" spans="1:8" ht="18">
      <c r="A82" s="62" t="s">
        <v>83</v>
      </c>
      <c r="B82" s="62"/>
      <c r="C82" s="62"/>
      <c r="D82" s="62"/>
      <c r="E82" s="62"/>
      <c r="F82" s="62"/>
      <c r="G82" s="62"/>
      <c r="H82" s="62"/>
    </row>
    <row r="83" spans="1:8" ht="16.5">
      <c r="A83" s="19"/>
      <c r="B83" s="19"/>
      <c r="C83" s="21"/>
      <c r="D83" s="21"/>
      <c r="E83" s="23"/>
      <c r="F83" s="23"/>
      <c r="G83" s="21"/>
      <c r="H83" s="29"/>
    </row>
    <row r="84" spans="1:8" ht="17.25">
      <c r="A84" s="19"/>
      <c r="B84" s="19"/>
      <c r="C84" s="21"/>
      <c r="D84" s="21"/>
      <c r="E84" s="23"/>
      <c r="F84" s="23"/>
      <c r="G84" s="21"/>
      <c r="H84" s="22"/>
    </row>
    <row r="85" spans="1:8" ht="17.25">
      <c r="A85" s="19"/>
      <c r="B85" s="19"/>
      <c r="C85" s="21"/>
      <c r="D85" s="21"/>
      <c r="E85" s="23"/>
      <c r="F85" s="23"/>
      <c r="G85" s="21"/>
      <c r="H85" s="22"/>
    </row>
    <row r="86" spans="1:8" ht="17.25">
      <c r="A86" s="19"/>
      <c r="B86" s="19"/>
      <c r="C86" s="21"/>
      <c r="D86" s="21"/>
      <c r="E86" s="23"/>
      <c r="F86" s="23"/>
      <c r="G86" s="21"/>
      <c r="H86" s="22"/>
    </row>
    <row r="87" spans="1:8" ht="17.25">
      <c r="A87" s="19"/>
      <c r="B87" s="19"/>
      <c r="C87" s="20"/>
      <c r="D87" s="20"/>
      <c r="E87" s="23"/>
      <c r="F87" s="23"/>
      <c r="G87" s="21"/>
      <c r="H87" s="22"/>
    </row>
    <row r="88" spans="1:8" ht="17.25">
      <c r="A88" s="19"/>
      <c r="B88" s="19"/>
      <c r="C88" s="20"/>
      <c r="D88" s="20"/>
      <c r="E88" s="23"/>
      <c r="F88" s="23"/>
      <c r="G88" s="21"/>
      <c r="H88" s="22"/>
    </row>
    <row r="89" spans="1:8" ht="17.25">
      <c r="A89" s="19"/>
      <c r="B89" s="19"/>
      <c r="C89" s="20"/>
      <c r="D89" s="20"/>
      <c r="E89" s="23"/>
      <c r="F89" s="23"/>
      <c r="G89" s="21"/>
      <c r="H89" s="22"/>
    </row>
    <row r="90" spans="1:8" ht="18">
      <c r="A90" s="62" t="s">
        <v>84</v>
      </c>
      <c r="B90" s="62"/>
      <c r="C90" s="62"/>
      <c r="D90" s="62"/>
      <c r="E90" s="62"/>
      <c r="F90" s="62"/>
      <c r="G90" s="62"/>
      <c r="H90" s="62"/>
    </row>
    <row r="91" spans="1:8" ht="16.5">
      <c r="A91" s="24"/>
      <c r="B91" s="24"/>
      <c r="C91" s="21"/>
      <c r="D91" s="21"/>
      <c r="E91" s="21"/>
      <c r="F91" s="21"/>
      <c r="G91" s="21"/>
      <c r="H91" s="25"/>
    </row>
    <row r="92" spans="1:8" ht="16.5">
      <c r="A92" s="24"/>
      <c r="B92" s="24"/>
      <c r="C92" s="21"/>
      <c r="D92" s="21"/>
      <c r="E92" s="21"/>
      <c r="F92" s="21"/>
      <c r="G92" s="21"/>
      <c r="H92" s="25"/>
    </row>
    <row r="93" spans="1:8" ht="16.5">
      <c r="A93" s="24"/>
      <c r="B93" s="24"/>
      <c r="C93" s="21"/>
      <c r="D93" s="21"/>
      <c r="E93" s="21"/>
      <c r="F93" s="21"/>
      <c r="G93" s="21"/>
      <c r="H93" s="25"/>
    </row>
  </sheetData>
  <mergeCells count="31">
    <mergeCell ref="A90:H90"/>
    <mergeCell ref="A1:F1"/>
    <mergeCell ref="C6:F6"/>
    <mergeCell ref="A75:H75"/>
    <mergeCell ref="A76:H76"/>
    <mergeCell ref="A82:H82"/>
    <mergeCell ref="E14:E15"/>
    <mergeCell ref="E16:E17"/>
    <mergeCell ref="E18:E19"/>
    <mergeCell ref="E9:E13"/>
    <mergeCell ref="E20:E24"/>
    <mergeCell ref="E25:E26"/>
    <mergeCell ref="E27:E28"/>
    <mergeCell ref="E29:E30"/>
    <mergeCell ref="I53:I54"/>
    <mergeCell ref="D9:D54"/>
    <mergeCell ref="E49:E50"/>
    <mergeCell ref="E51:E52"/>
    <mergeCell ref="I43:I52"/>
    <mergeCell ref="E39:E40"/>
    <mergeCell ref="E43:E46"/>
    <mergeCell ref="E41:E42"/>
    <mergeCell ref="E47:E48"/>
    <mergeCell ref="E31:E34"/>
    <mergeCell ref="E35:E36"/>
    <mergeCell ref="E37:E38"/>
    <mergeCell ref="B9:B60"/>
    <mergeCell ref="C9:C60"/>
    <mergeCell ref="E60:G60"/>
    <mergeCell ref="D55:D60"/>
    <mergeCell ref="E53:E54"/>
  </mergeCells>
  <phoneticPr fontId="20" type="noConversion"/>
  <conditionalFormatting sqref="H9 H32:H64">
    <cfRule type="cellIs" dxfId="17" priority="31" stopIfTrue="1" operator="equal">
      <formula>"N/A"</formula>
    </cfRule>
    <cfRule type="cellIs" dxfId="16" priority="32" stopIfTrue="1" operator="equal">
      <formula>"Fail"</formula>
    </cfRule>
    <cfRule type="cellIs" dxfId="15" priority="33" stopIfTrue="1" operator="equal">
      <formula>"Pass"</formula>
    </cfRule>
  </conditionalFormatting>
  <conditionalFormatting sqref="H91:H93">
    <cfRule type="cellIs" dxfId="14" priority="19" stopIfTrue="1" operator="equal">
      <formula>"N/A"</formula>
    </cfRule>
    <cfRule type="cellIs" dxfId="13" priority="20" stopIfTrue="1" operator="equal">
      <formula>"Fail"</formula>
    </cfRule>
    <cfRule type="cellIs" dxfId="12" priority="21" stopIfTrue="1" operator="equal">
      <formula>"Pass"</formula>
    </cfRule>
  </conditionalFormatting>
  <conditionalFormatting sqref="H65:H74 H87:H89">
    <cfRule type="cellIs" dxfId="11" priority="34" stopIfTrue="1" operator="equal">
      <formula>"N/A"</formula>
    </cfRule>
    <cfRule type="cellIs" dxfId="10" priority="35" stopIfTrue="1" operator="equal">
      <formula>"Fail"</formula>
    </cfRule>
    <cfRule type="cellIs" dxfId="9" priority="36" stopIfTrue="1" operator="equal">
      <formula>"Pass"</formula>
    </cfRule>
  </conditionalFormatting>
  <conditionalFormatting sqref="H77:H81 H84:H86">
    <cfRule type="cellIs" dxfId="8" priority="10" stopIfTrue="1" operator="equal">
      <formula>"N/A"</formula>
    </cfRule>
    <cfRule type="cellIs" dxfId="7" priority="11" stopIfTrue="1" operator="equal">
      <formula>"Fail"</formula>
    </cfRule>
    <cfRule type="cellIs" dxfId="6" priority="12" stopIfTrue="1" operator="equal">
      <formula>"Pass"</formula>
    </cfRule>
  </conditionalFormatting>
  <conditionalFormatting sqref="H10:H30">
    <cfRule type="cellIs" dxfId="5" priority="7" stopIfTrue="1" operator="equal">
      <formula>"N/A"</formula>
    </cfRule>
    <cfRule type="cellIs" dxfId="4" priority="8" stopIfTrue="1" operator="equal">
      <formula>"Fail"</formula>
    </cfRule>
    <cfRule type="cellIs" dxfId="3" priority="9" stopIfTrue="1" operator="equal">
      <formula>"Pass"</formula>
    </cfRule>
  </conditionalFormatting>
  <conditionalFormatting sqref="H31">
    <cfRule type="cellIs" dxfId="2" priority="4" stopIfTrue="1" operator="equal">
      <formula>"N/A"</formula>
    </cfRule>
    <cfRule type="cellIs" dxfId="1" priority="5" stopIfTrue="1" operator="equal">
      <formula>"Fail"</formula>
    </cfRule>
    <cfRule type="cellIs" dxfId="0" priority="6" stopIfTrue="1" operator="equal">
      <formula>"Pass"</formula>
    </cfRule>
  </conditionalFormatting>
  <dataValidations count="3">
    <dataValidation type="list" allowBlank="1" showInputMessage="1" showErrorMessage="1" sqref="G75:H75 G76 G82" xr:uid="{00000000-0002-0000-0000-000000000000}">
      <formula1>$F$2:$F$4</formula1>
    </dataValidation>
    <dataValidation type="list" allowBlank="1" showInputMessage="1" showErrorMessage="1" sqref="D82 D75:D76" xr:uid="{00000000-0002-0000-0000-000001000000}">
      <formula1>#REF!</formula1>
    </dataValidation>
    <dataValidation type="list" allowBlank="1" showInputMessage="1" showErrorMessage="1" sqref="H91:H93 H77:H81 H84:H89 H9:H74" xr:uid="{00000000-0002-0000-0000-000002000000}">
      <formula1>$G$2:$G$4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0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0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2025-12-27T07:28:31Z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