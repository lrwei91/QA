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1" documentId="11_28BC99A89F3AEE47E46145765F9CB9A24A2EB281" xr6:coauthVersionLast="47" xr6:coauthVersionMax="47" xr10:uidLastSave="{A15E1909-4F60-4210-9B2A-33CD33759798}"/>
  <bookViews>
    <workbookView xWindow="0" yWindow="0" windowWidth="27945" windowHeight="12255" xr2:uid="{00000000-000D-0000-FFFF-FFFF00000000}"/>
  </bookViews>
  <sheets>
    <sheet name="玩家报表字段新增" sheetId="1" r:id="rId1"/>
    <sheet name="功能位置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G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" authorId="0" shapeId="0" xr:uid="{00000000-0006-0000-0000-000001000000}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 shapeId="0" xr:uid="{00000000-0006-0000-0000-000002000000}">
      <text>
        <r>
          <rPr>
            <sz val="10"/>
            <rFont val="宋体"/>
            <charset val="134"/>
          </rPr>
          <t>若无该模块将自动创建</t>
        </r>
      </text>
    </comment>
    <comment ref="E9" authorId="0" shapeId="0" xr:uid="{00000000-0006-0000-0000-000003000000}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 shapeId="0" xr:uid="{00000000-0006-0000-0000-000004000000}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<sst xmlns="http://schemas.openxmlformats.org/spreadsheetml/2006/main" count="38" uniqueCount="35">
  <si>
    <t>玩家报表字段新增-测试用例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</si>
  <si>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</si>
  <si>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</si>
  <si>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</si>
  <si>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</si>
  <si>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</si>
  <si>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</si>
  <si>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</si>
  <si>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</si>
  <si>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</si>
  <si>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</si>
  <si>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</si>
  <si>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</si>
  <si>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</si>
  <si>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</si>
  <si>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</si>
  <si>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</si>
  <si>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</si>
  <si>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</si>
  <si>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</si>
  <si>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</si>
  <si>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</si>
  <si>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</si>
  <si>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</si>
  <si>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新增“最后访问域名”验证</t>
  </si>
  <si>
    <t>报表/玩家报表</t>
  </si>
  <si>
    <t>进入列表，查看</t>
  </si>
  <si>
    <t>新增字段‘最后访问域名’</t>
  </si>
  <si>
    <t>1、选择任一玩家账号，先在A域名的客户端登录
2、再次去B域名的客户端登录</t>
  </si>
  <si>
    <t>最后访问域名显示玩家最后一次登录访问的域名</t>
  </si>
  <si>
    <t>点击导出</t>
  </si>
  <si>
    <t>导出成功，且新增字段‘最后访问域名’</t>
  </si>
  <si>
    <t>旧数据验证</t>
  </si>
  <si>
    <t>开发执行完脚本后，查看旧数据</t>
  </si>
  <si>
    <t>显示正确的最后访问域名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</si>
</sst>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5">
    <xf numFmtId="0" fontId="0" fillId="0" borderId="0" xfId="0" applyFo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6" fontId="2" fillId="4" borderId="3" xfId="1" applyNumberFormat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1" applyNumberFormat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12" fillId="4" borderId="2" xfId="1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14" fontId="2" fillId="4" borderId="4" xfId="1" applyNumberFormat="1" applyFont="1" applyFill="1" applyBorder="1" applyAlignment="1">
      <alignment horizontal="left" vertical="center"/>
    </xf>
    <xf numFmtId="14" fontId="2" fillId="4" borderId="5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6" fillId="4" borderId="5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1" applyFont="1" applyFill="1" applyBorder="1" applyAlignment="1">
      <alignment horizontal="center" vertical="center"/>
    </xf>
    <xf numFmtId="0" fontId="12" fillId="4" borderId="7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3" xfId="0" applyFont="1" applyBorder="1" applyAlignment="1">
      <alignment vertical="center"/>
    </xf>
  </cellXfs>
  <cellStyles count="2">
    <cellStyle name="常规" xfId="0" builtinId="0"/>
    <cellStyle name="一般 10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9</xdr:row>
      <xdr:rowOff>142875</xdr:rowOff>
    </xdr:from>
    <xdr:to>
      <xdr:col>7</xdr:col>
      <xdr:colOff>3054350</xdr:colOff>
      <xdr:row>10</xdr:row>
      <xdr:rowOff>254635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7225" y="1952625"/>
          <a:ext cx="2597150" cy="94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10</xdr:row>
      <xdr:rowOff>428625</xdr:rowOff>
    </xdr:from>
    <xdr:to>
      <xdr:col>7</xdr:col>
      <xdr:colOff>3500120</xdr:colOff>
      <xdr:row>11</xdr:row>
      <xdr:rowOff>534670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7675" y="3076575"/>
          <a:ext cx="3252470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628650</xdr:colOff>
      <xdr:row>12</xdr:row>
      <xdr:rowOff>95250</xdr:rowOff>
    </xdr:from>
    <xdr:to>
      <xdr:col>7</xdr:col>
      <xdr:colOff>2887345</xdr:colOff>
      <xdr:row>12</xdr:row>
      <xdr:rowOff>727710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68675" y="4419600"/>
          <a:ext cx="2258695" cy="632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spans="1:9" ht="16.5">
      <c r="A1" s="21" t="s">
        <v>0</v>
      </c>
      <c r="B1" s="22"/>
      <c r="C1" s="22"/>
      <c r="D1" s="22"/>
      <c r="E1" s="22"/>
      <c r="F1" s="1" t="s">
        <v>1</v>
      </c>
      <c r="G1" s="2">
        <f>G2+G3+G4</f>
        <v>2</v>
      </c>
    </row>
    <row r="2" spans="1:9" ht="16.5">
      <c r="A2" s="3" t="s">
        <v>2</v>
      </c>
      <c r="B2" s="23" t="s">
        <v>3</v>
      </c>
      <c r="C2" s="24"/>
      <c r="D2" s="3" t="s">
        <v>4</v>
      </c>
      <c r="E2" s="4"/>
      <c r="F2" s="5" t="s">
        <v>5</v>
      </c>
      <c r="G2" s="5">
        <f>COUNTIF(G9:G79,"Pass")</f>
        <v>2</v>
      </c>
    </row>
    <row r="3" spans="1:9" ht="16.5">
      <c r="A3" s="3" t="s">
        <v>6</v>
      </c>
      <c r="B3" s="25"/>
      <c r="C3" s="26"/>
      <c r="D3" s="6" t="s">
        <v>7</v>
      </c>
      <c r="E3" s="7"/>
      <c r="F3" s="8" t="s">
        <v>8</v>
      </c>
      <c r="G3" s="8">
        <f>COUNTIF(G9:G79,"Fail")</f>
        <v>0</v>
      </c>
    </row>
    <row r="4" spans="1:9" ht="16.5">
      <c r="A4" s="3" t="s">
        <v>9</v>
      </c>
      <c r="B4" s="23"/>
      <c r="C4" s="24"/>
      <c r="D4" s="9" t="s">
        <v>10</v>
      </c>
      <c r="E4" s="10"/>
      <c r="F4" s="11" t="s">
        <v>11</v>
      </c>
      <c r="G4" s="11">
        <f>COUNTIF(G9:G79,"N/A")</f>
        <v>0</v>
      </c>
    </row>
    <row r="5" spans="1:9" ht="16.5">
      <c r="A5" s="3" t="s">
        <v>12</v>
      </c>
      <c r="B5" s="23"/>
      <c r="C5" s="24"/>
      <c r="D5" s="6" t="s">
        <v>13</v>
      </c>
      <c r="E5" s="10"/>
      <c r="F5" s="12"/>
      <c r="G5" s="12"/>
    </row>
    <row r="6" spans="1:9" ht="14.25">
      <c r="A6" s="3" t="s">
        <v>14</v>
      </c>
      <c r="B6" s="27"/>
      <c r="C6" s="27"/>
      <c r="D6" s="27"/>
      <c r="E6" s="27"/>
      <c r="F6" s="13"/>
      <c r="G6" s="12"/>
    </row>
    <row r="9" spans="1:9" ht="18.75">
      <c r="A9" s="14" t="s">
        <v>15</v>
      </c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22</v>
      </c>
      <c r="I9" s="14" t="s">
        <v>23</v>
      </c>
    </row>
    <row r="10" spans="1:9" ht="66" customHeight="1">
      <c r="A10" s="28">
        <v>1</v>
      </c>
      <c r="B10" s="29" t="s">
        <v>24</v>
      </c>
      <c r="C10" s="29" t="s">
        <v>25</v>
      </c>
      <c r="D10" s="29"/>
      <c r="E10" s="15" t="s">
        <v>26</v>
      </c>
      <c r="F10" s="15" t="s">
        <v>27</v>
      </c>
      <c r="G10" s="30" t="s">
        <v>5</v>
      </c>
      <c r="H10" s="33"/>
      <c r="I10" s="29"/>
    </row>
    <row r="11" spans="1:9" ht="66" customHeight="1">
      <c r="A11" s="28"/>
      <c r="B11" s="29"/>
      <c r="C11" s="29"/>
      <c r="D11" s="29"/>
      <c r="E11" s="15" t="s">
        <v>28</v>
      </c>
      <c r="F11" s="15" t="s">
        <v>29</v>
      </c>
      <c r="G11" s="31"/>
      <c r="H11" s="33"/>
      <c r="I11" s="29"/>
    </row>
    <row r="12" spans="1:9" ht="66" customHeight="1">
      <c r="A12" s="28"/>
      <c r="B12" s="29"/>
      <c r="C12" s="29"/>
      <c r="D12" s="29"/>
      <c r="E12" s="15" t="s">
        <v>30</v>
      </c>
      <c r="F12" s="15" t="s">
        <v>31</v>
      </c>
      <c r="G12" s="32"/>
      <c r="H12" s="34"/>
      <c r="I12" s="29"/>
    </row>
    <row r="13" spans="1:9" ht="66" customHeight="1">
      <c r="A13" s="16">
        <v>2</v>
      </c>
      <c r="B13" s="17" t="s">
        <v>32</v>
      </c>
      <c r="C13" s="18" t="s">
        <v>25</v>
      </c>
      <c r="D13" s="17"/>
      <c r="E13" s="18" t="s">
        <v>33</v>
      </c>
      <c r="F13" s="18" t="s">
        <v>34</v>
      </c>
      <c r="G13" s="19" t="s">
        <v>5</v>
      </c>
      <c r="H13" s="20"/>
      <c r="I13" s="17"/>
    </row>
  </sheetData>
  <mergeCells count="13">
    <mergeCell ref="G10:G12"/>
    <mergeCell ref="H10:H12"/>
    <mergeCell ref="I10:I12"/>
    <mergeCell ref="B6:E6"/>
    <mergeCell ref="A10:A12"/>
    <mergeCell ref="B10:B12"/>
    <mergeCell ref="C10:C12"/>
    <mergeCell ref="D10:D12"/>
    <mergeCell ref="A1:E1"/>
    <mergeCell ref="B2:C2"/>
    <mergeCell ref="B3:C3"/>
    <mergeCell ref="B4:C4"/>
    <mergeCell ref="B5:C5"/>
  </mergeCells>
  <dataValidations count="2">
    <dataValidation type="list" allowBlank="1" showInputMessage="1" showErrorMessage="1" sqref="G1:G6" xr:uid="{00000000-0002-0000-0000-000000000000}">
      <formula1>#REF!</formula1>
    </dataValidation>
    <dataValidation type="list" allowBlank="1" showInputMessage="1" showErrorMessage="1" sqref="G10:G13" xr:uid="{00000000-0002-0000-0000-000001000000}">
      <formula1>"Pass,Fail,N/A"</formula1>
    </dataValidation>
  </dataValidations>
  <pageMargins left="0.7" right="0.7" top="0.75" bottom="0.75" header="0.3" footer="0.3"/>
  <ignoredErrors>
    <ignoredError sqref="G2" listDataValidation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来宾用户</cp:lastModifiedBy>
  <cp:revision/>
  <dcterms:created xsi:type="dcterms:W3CDTF">2025-08-21T03:37:00Z</dcterms:created>
  <dcterms:modified xsi:type="dcterms:W3CDTF">2026-01-14T06:38:43Z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