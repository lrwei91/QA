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整体数据概览与留存报表优化--测试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<sst xmlns="http://schemas.openxmlformats.org/spreadsheetml/2006/main" count="130" uniqueCount="76">
  <si>
    <t>整体数据概览与留存报表优化--测试用例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</si>
  <si>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</si>
  <si>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</si>
  <si>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</si>
  <si>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</si>
  <si>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</si>
  <si>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</si>
  <si>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</si>
  <si>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</si>
  <si>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</si>
  <si>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</si>
  <si>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</si>
  <si>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</si>
  <si>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</si>
  <si>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</si>
  <si>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</si>
  <si>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</si>
  <si>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</si>
  <si>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</si>
  <si>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</si>
  <si>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</si>
  <si>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</si>
  <si>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</si>
  <si>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整体数据概览</t>
  </si>
  <si>
    <t>充值用户数</t>
  </si>
  <si>
    <t>验证充值用户数字段变更</t>
  </si>
  <si>
    <t>登录后台
进入整体数据概览界面查看</t>
  </si>
  <si>
    <t>充值用户数 变更为：充值用户数/笔数</t>
  </si>
  <si>
    <t>充值用户数/笔数显示</t>
  </si>
  <si>
    <t>查询时间段内有充值数据
验证充值用户数/笔数显示</t>
  </si>
  <si>
    <t>登录后台
进入整体数据概览界面筛选时间查看</t>
  </si>
  <si>
    <t>用户数为时间段内充值的用户数正确去重（同一用户多次充值只计1人）
充值笔数为时间段内所有成功充值订单数（不去重）</t>
  </si>
  <si>
    <t>注：有人工入款-存款
 也是要统计进去的</t>
  </si>
  <si>
    <t>查询时间段内无充值数据
验证充值用户数/笔数显示</t>
  </si>
  <si>
    <t>若无数据，显示“0/0”（人/笔）</t>
  </si>
  <si>
    <t>详情查看</t>
  </si>
  <si>
    <t>时间段内有用户完成第二笔充值
 时间段内有用户完成第三笔充值
比例计算分母为充值人数（去重）
验证详情页展示</t>
  </si>
  <si>
    <t>在数据概览中点击“充值用户数/笔数”数值
查看弹出的详情窗口
并计算出数据与之对比</t>
  </si>
  <si>
    <t>显示“时间段内的二充人数”、“二充人数比”、“第三充人数”、“三充人数比”
 二充人数：在时间段内完成第二笔充值的用户数（去重）
二充人数比例：第二笔人数 / 该列表充值用户数
第三笔人数及比例同理
计算出的数据与详情页显示的一致</t>
  </si>
  <si>
    <t>注：三充人数比tip显示 
无该列表三个字段</t>
  </si>
  <si>
    <t>tip查看</t>
  </si>
  <si>
    <t>验证tip显示</t>
  </si>
  <si>
    <t>在整体数据概览界面 
点击数据进入详情界面点击【！】查看</t>
  </si>
  <si>
    <t>tip提示：
二充人数：二充成功的用户数
二充人数比：二充成功的用户数/该列表充值人数
三充人数：三充成功的用户数
三充人数比：三充成功的用户数/充值人数</t>
  </si>
  <si>
    <t>日报表</t>
  </si>
  <si>
    <t>新增二充人数、二充人数比、三充人数、三充人数比</t>
  </si>
  <si>
    <t>验证日报表新增字段</t>
  </si>
  <si>
    <t>进入整体数据概览界面
选择日报表查看</t>
  </si>
  <si>
    <t>新增字段：二充人数、二充人数比、
三充人数、三充人数比显示正常</t>
  </si>
  <si>
    <t>二充人数、二充人数比显示及计算</t>
  </si>
  <si>
    <t>日报表列表中有充值数据
二充人数计算逻辑（时间段内第二笔）
 比例分母为“该列表充值人数”
验证二充人数、二充人数比显示及计算</t>
  </si>
  <si>
    <t>进入日报表，选择查询任意日期。
查看新增字段“二充人数”、“二充人数比”
导出所选择的日期充值订单 计算二充人数、二充人数比与日报表对应日期显示对比</t>
  </si>
  <si>
    <t>二充人数：该日期内完成第二笔充值的用户数（去重）
 二充人数比：二充人数 / 该日期充值总人数，
显示为xx.xx%（保留两位小数）
若无二充用户，显示0和0.00%
字段有Tip提示
数据显示与计算的一致</t>
  </si>
  <si>
    <t>三充人数、三充人数比显示及计算</t>
  </si>
  <si>
    <t>日报表列表中有充值数据
二充人数计算逻辑（时间段内第二笔）
 比例分母为“该列表充值人数”
验证三充人数、三充人数比显示及计算</t>
  </si>
  <si>
    <t>进入日报表，选择查询日期。
查看新增字段“三充人数”、“三充人数比”
导出所选择的日期充值订单 计算三充人数、三充人数比与日报表对应日期显示对比</t>
  </si>
  <si>
    <t>三充人数：该日期内完成第三笔充值的用户数（去重）
 三充人数比：三充人数 / 该日期充值总人数，显示为xx.xx%（保留两位小数）
若无三充用户，显示0和0.00%
字段有Tip提示</t>
  </si>
  <si>
    <t>进入整体数据概览界面
选择日报表点击二充人数、二充人数比、三充人数、三充人数比【！】
导出所选择的日期充值订单 计算三充人数、三充人数比与日报表对应日期显示对比</t>
  </si>
  <si>
    <t>tip提示：
二充人数：二充成功的用户数
二充人数比：二充成功的用户数/充值人数
三充人数：三充成功的用户数
三充人数比：三充成功的用户数/充值人数</t>
  </si>
  <si>
    <t>用户留存报表</t>
  </si>
  <si>
    <t>新增二充使用平均时间（天）
三充使用平均时间（天）字段</t>
  </si>
  <si>
    <t>验证新增字段显示</t>
  </si>
  <si>
    <t>进入用户留存报表界面查看</t>
  </si>
  <si>
    <t>新增二充使用平均时间（天）
三充使用平均时间（天）字段展示正常
字段有tip提示说明公式</t>
  </si>
  <si>
    <t>二充使用平均时间（天）</t>
  </si>
  <si>
    <t>计算公式为：二充用户使用总时间（天）/ 二充用户数
有用户注册并完成二充
验证二充使用平均时间（天）</t>
  </si>
  <si>
    <t>选择某一天的数据
通过计算
进行与用户留存报表数据进行对比</t>
  </si>
  <si>
    <t>二充使用平均时间（天）数据显示正常
结果保留两位小数</t>
  </si>
  <si>
    <t>三充使用平均时间（天）</t>
  </si>
  <si>
    <t>计算公式为：三充充用户使用总时间（天）/ 三充用户数
有用户注册并完成三充
验证三充使用平均时间（天）</t>
  </si>
  <si>
    <t>选择某一天的数据
通过计算进行
与用户留存报表数据进行对比</t>
  </si>
  <si>
    <t>三充使用平均时间（天）数据显示正常
结果保留两位小数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</si>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</sst>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8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30" fillId="10" borderId="8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49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/>
    </xf>
    <xf numFmtId="0" fontId="4" fillId="3" borderId="1" xfId="49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4" fontId="5" fillId="4" borderId="1" xfId="49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6" fillId="4" borderId="1" xfId="49" applyFont="1" applyFill="1" applyBorder="1" applyAlignment="1">
      <alignment horizontal="center" vertical="center"/>
    </xf>
    <xf numFmtId="14" fontId="7" fillId="4" borderId="1" xfId="49" applyNumberFormat="1" applyFont="1" applyFill="1" applyBorder="1" applyAlignment="1">
      <alignment horizontal="left" vertical="center"/>
    </xf>
    <xf numFmtId="46" fontId="5" fillId="4" borderId="1" xfId="49" applyNumberFormat="1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9" fillId="4" borderId="1" xfId="49" applyFont="1" applyFill="1" applyBorder="1" applyAlignment="1">
      <alignment horizontal="center" vertical="center"/>
    </xf>
    <xf numFmtId="0" fontId="4" fillId="5" borderId="1" xfId="49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 wrapText="1"/>
    </xf>
    <xf numFmtId="0" fontId="15" fillId="7" borderId="1" xfId="49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0" borderId="1" xfId="0" applyFont="1" applyBorder="1">
      <alignment vertical="center"/>
    </xf>
    <xf numFmtId="0" fontId="14" fillId="0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8" fillId="0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645795</xdr:colOff>
      <xdr:row>10</xdr:row>
      <xdr:rowOff>216535</xdr:rowOff>
    </xdr:from>
    <xdr:to>
      <xdr:col>7</xdr:col>
      <xdr:colOff>1400175</xdr:colOff>
      <xdr:row>10</xdr:row>
      <xdr:rowOff>533400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14195" y="3655060"/>
          <a:ext cx="754380" cy="316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542290</xdr:colOff>
      <xdr:row>8</xdr:row>
      <xdr:rowOff>203835</xdr:rowOff>
    </xdr:from>
    <xdr:to>
      <xdr:col>7</xdr:col>
      <xdr:colOff>1752600</xdr:colOff>
      <xdr:row>8</xdr:row>
      <xdr:rowOff>876300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410690" y="1813560"/>
          <a:ext cx="1210310" cy="672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581025</xdr:colOff>
      <xdr:row>9</xdr:row>
      <xdr:rowOff>191770</xdr:rowOff>
    </xdr:from>
    <xdr:to>
      <xdr:col>7</xdr:col>
      <xdr:colOff>1457325</xdr:colOff>
      <xdr:row>9</xdr:row>
      <xdr:rowOff>676275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449425" y="2715895"/>
          <a:ext cx="876300" cy="484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304165</xdr:colOff>
      <xdr:row>11</xdr:row>
      <xdr:rowOff>958215</xdr:rowOff>
    </xdr:from>
    <xdr:to>
      <xdr:col>7</xdr:col>
      <xdr:colOff>1847850</xdr:colOff>
      <xdr:row>11</xdr:row>
      <xdr:rowOff>1323975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172565" y="5311140"/>
          <a:ext cx="1543685" cy="365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570230</xdr:colOff>
      <xdr:row>12</xdr:row>
      <xdr:rowOff>681990</xdr:rowOff>
    </xdr:from>
    <xdr:to>
      <xdr:col>7</xdr:col>
      <xdr:colOff>1371600</xdr:colOff>
      <xdr:row>12</xdr:row>
      <xdr:rowOff>1066800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438630" y="6635115"/>
          <a:ext cx="801370" cy="384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322580</xdr:colOff>
      <xdr:row>13</xdr:row>
      <xdr:rowOff>381000</xdr:rowOff>
    </xdr:from>
    <xdr:to>
      <xdr:col>7</xdr:col>
      <xdr:colOff>1400175</xdr:colOff>
      <xdr:row>13</xdr:row>
      <xdr:rowOff>742950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190980" y="7781925"/>
          <a:ext cx="1077595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389890</xdr:colOff>
      <xdr:row>14</xdr:row>
      <xdr:rowOff>441960</xdr:rowOff>
    </xdr:from>
    <xdr:to>
      <xdr:col>7</xdr:col>
      <xdr:colOff>1609725</xdr:colOff>
      <xdr:row>14</xdr:row>
      <xdr:rowOff>1009650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258290" y="8757285"/>
          <a:ext cx="1219835" cy="567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609600</xdr:colOff>
      <xdr:row>15</xdr:row>
      <xdr:rowOff>355600</xdr:rowOff>
    </xdr:from>
    <xdr:to>
      <xdr:col>7</xdr:col>
      <xdr:colOff>1829435</xdr:colOff>
      <xdr:row>15</xdr:row>
      <xdr:rowOff>923290</xdr:rowOff>
    </xdr:to>
    <xdr:pic>
      <xdr:nvPicPr>
        <xdr:cNvPr id="12" name="图片 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478000" y="10017125"/>
          <a:ext cx="1219835" cy="567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407670</xdr:colOff>
      <xdr:row>16</xdr:row>
      <xdr:rowOff>443865</xdr:rowOff>
    </xdr:from>
    <xdr:to>
      <xdr:col>7</xdr:col>
      <xdr:colOff>1581150</xdr:colOff>
      <xdr:row>16</xdr:row>
      <xdr:rowOff>762000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276070" y="11273790"/>
          <a:ext cx="1173480" cy="318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408305</xdr:colOff>
      <xdr:row>18</xdr:row>
      <xdr:rowOff>140335</xdr:rowOff>
    </xdr:from>
    <xdr:to>
      <xdr:col>7</xdr:col>
      <xdr:colOff>1457325</xdr:colOff>
      <xdr:row>18</xdr:row>
      <xdr:rowOff>758825</xdr:rowOff>
    </xdr:to>
    <xdr:pic>
      <xdr:nvPicPr>
        <xdr:cNvPr id="4" name="图片 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276705" y="13129260"/>
          <a:ext cx="1049020" cy="618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111760</xdr:colOff>
      <xdr:row>17</xdr:row>
      <xdr:rowOff>272415</xdr:rowOff>
    </xdr:from>
    <xdr:to>
      <xdr:col>7</xdr:col>
      <xdr:colOff>1771650</xdr:colOff>
      <xdr:row>17</xdr:row>
      <xdr:rowOff>695325</xdr:rowOff>
    </xdr:to>
    <xdr:pic>
      <xdr:nvPicPr>
        <xdr:cNvPr id="10" name="图片 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3980160" y="12346940"/>
          <a:ext cx="1659890" cy="422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437515</xdr:colOff>
      <xdr:row>19</xdr:row>
      <xdr:rowOff>174625</xdr:rowOff>
    </xdr:from>
    <xdr:to>
      <xdr:col>7</xdr:col>
      <xdr:colOff>1457325</xdr:colOff>
      <xdr:row>19</xdr:row>
      <xdr:rowOff>727075</xdr:rowOff>
    </xdr:to>
    <xdr:pic>
      <xdr:nvPicPr>
        <xdr:cNvPr id="9" name="图片 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305915" y="14077950"/>
          <a:ext cx="1019810" cy="552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15"/>
  <sheetViews>
    <sheetView tabSelected="1" topLeftCell="B1" workbookViewId="0">
      <pane ySplit="8" topLeftCell="A9" activePane="bottomLeft" state="frozen"/>
      <selection/>
      <selection pane="bottomLeft" activeCell="G10" sqref="G10"/>
    </sheetView>
  </sheetViews>
  <sheetFormatPr defaultColWidth="9" defaultRowHeight="13.5"/>
  <cols>
    <col min="1" max="1" width="12.625" style="3" customWidth="1"/>
    <col min="2" max="2" width="18.75" style="4" customWidth="1"/>
    <col min="3" max="3" width="40.125" style="4" customWidth="1"/>
    <col min="4" max="4" width="29.625" style="4" customWidth="1"/>
    <col min="5" max="5" width="30.875" style="4" customWidth="1"/>
    <col min="6" max="6" width="41" style="4" customWidth="1"/>
    <col min="7" max="7" width="9" style="4"/>
    <col min="8" max="8" width="25.875" style="4" customWidth="1"/>
    <col min="9" max="9" width="26.5" style="4" customWidth="1"/>
    <col min="10" max="16384" width="9" style="4"/>
  </cols>
  <sheetData>
    <row r="1" ht="16.5" spans="1:9">
      <c r="A1" s="5" t="s">
        <v>0</v>
      </c>
      <c r="B1" s="6"/>
      <c r="C1" s="6"/>
      <c r="D1" s="6"/>
      <c r="E1" s="6"/>
      <c r="F1" s="7" t="s">
        <v>1</v>
      </c>
      <c r="G1" s="8">
        <f>G2+G3+G4</f>
        <v>52</v>
      </c>
      <c r="H1" s="8"/>
    </row>
    <row r="2" ht="16.5" spans="1:9">
      <c r="A2" s="9" t="s">
        <v>2</v>
      </c>
      <c r="B2" s="10"/>
      <c r="C2" s="10"/>
      <c r="D2" s="11" t="s">
        <v>3</v>
      </c>
      <c r="E2" s="10"/>
      <c r="F2" s="12" t="s">
        <v>4</v>
      </c>
      <c r="G2" s="12">
        <f>COUNTIF(G9:G338,"Pass")</f>
        <v>52</v>
      </c>
      <c r="H2" s="12"/>
    </row>
    <row r="3" ht="16.5" spans="1:9">
      <c r="A3" s="9" t="s">
        <v>5</v>
      </c>
      <c r="B3" s="13"/>
      <c r="C3" s="13"/>
      <c r="D3" s="11" t="s">
        <v>6</v>
      </c>
      <c r="E3" s="14"/>
      <c r="F3" s="15" t="s">
        <v>7</v>
      </c>
      <c r="G3" s="15">
        <f>COUNTIF(G9:G338,"Fail")</f>
        <v>0</v>
      </c>
      <c r="H3" s="15"/>
    </row>
    <row r="4" ht="16.5" spans="1:9">
      <c r="A4" s="11" t="s">
        <v>8</v>
      </c>
      <c r="B4" s="10"/>
      <c r="C4" s="10"/>
      <c r="D4" s="9" t="s">
        <v>9</v>
      </c>
      <c r="E4" s="16"/>
      <c r="F4" s="17" t="s">
        <v>10</v>
      </c>
      <c r="G4" s="17">
        <f>COUNTIF(G9:G338,"N/A")</f>
        <v>0</v>
      </c>
      <c r="H4" s="17"/>
    </row>
    <row r="5" ht="16.5" spans="1:9">
      <c r="A5" s="9" t="s">
        <v>11</v>
      </c>
      <c r="B5" s="10"/>
      <c r="C5" s="10"/>
      <c r="D5" s="11" t="s">
        <v>12</v>
      </c>
      <c r="E5" s="16"/>
    </row>
    <row r="6" ht="14.25" spans="1:9">
      <c r="A6" s="18" t="s">
        <v>13</v>
      </c>
      <c r="B6" s="19"/>
      <c r="C6" s="19"/>
      <c r="D6" s="19"/>
      <c r="E6" s="19"/>
      <c r="F6" s="20"/>
    </row>
    <row r="8" ht="16.5" spans="1:9">
      <c r="A8" s="21" t="s">
        <v>14</v>
      </c>
      <c r="B8" s="21" t="s">
        <v>15</v>
      </c>
      <c r="C8" s="21" t="s">
        <v>16</v>
      </c>
      <c r="D8" s="21" t="s">
        <v>17</v>
      </c>
      <c r="E8" s="21" t="s">
        <v>18</v>
      </c>
      <c r="F8" s="21" t="s">
        <v>19</v>
      </c>
      <c r="G8" s="21" t="s">
        <v>20</v>
      </c>
      <c r="H8" s="21" t="s">
        <v>21</v>
      </c>
      <c r="I8" s="21" t="s">
        <v>22</v>
      </c>
    </row>
    <row r="9" ht="72" customHeight="1" spans="1:9">
      <c r="A9" s="22">
        <v>1</v>
      </c>
      <c r="B9" s="23" t="s">
        <v>23</v>
      </c>
      <c r="C9" s="24" t="s">
        <v>24</v>
      </c>
      <c r="D9" s="24" t="s">
        <v>25</v>
      </c>
      <c r="E9" s="25" t="s">
        <v>26</v>
      </c>
      <c r="F9" s="24" t="s">
        <v>27</v>
      </c>
      <c r="G9" s="26" t="s">
        <v>4</v>
      </c>
      <c r="H9" s="26"/>
      <c r="I9" s="27"/>
    </row>
    <row r="10" ht="72" customHeight="1" spans="1:9">
      <c r="A10" s="22">
        <v>2</v>
      </c>
      <c r="B10" s="28"/>
      <c r="C10" s="23" t="s">
        <v>28</v>
      </c>
      <c r="D10" s="25" t="s">
        <v>29</v>
      </c>
      <c r="E10" s="29" t="s">
        <v>30</v>
      </c>
      <c r="F10" s="25" t="s">
        <v>31</v>
      </c>
      <c r="G10" s="26" t="s">
        <v>4</v>
      </c>
      <c r="H10" s="26"/>
      <c r="I10" s="30" t="s">
        <v>32</v>
      </c>
    </row>
    <row r="11" ht="72" customHeight="1" spans="1:9">
      <c r="A11" s="22">
        <v>3</v>
      </c>
      <c r="B11" s="28"/>
      <c r="C11" s="31"/>
      <c r="D11" s="25" t="s">
        <v>33</v>
      </c>
      <c r="E11" s="32"/>
      <c r="F11" s="24" t="s">
        <v>34</v>
      </c>
      <c r="G11" s="26" t="s">
        <v>4</v>
      </c>
      <c r="H11" s="26"/>
      <c r="I11" s="27"/>
    </row>
    <row r="12" ht="126" customHeight="1" spans="1:9">
      <c r="A12" s="22">
        <v>4</v>
      </c>
      <c r="B12" s="28"/>
      <c r="C12" s="24" t="s">
        <v>35</v>
      </c>
      <c r="D12" s="25" t="s">
        <v>36</v>
      </c>
      <c r="E12" s="25" t="s">
        <v>37</v>
      </c>
      <c r="F12" s="25" t="s">
        <v>38</v>
      </c>
      <c r="G12" s="26" t="s">
        <v>4</v>
      </c>
      <c r="H12" s="26"/>
      <c r="I12" s="30" t="s">
        <v>39</v>
      </c>
    </row>
    <row r="13" ht="114" customHeight="1" spans="1:9">
      <c r="A13" s="22">
        <v>5</v>
      </c>
      <c r="B13" s="31"/>
      <c r="C13" s="24" t="s">
        <v>40</v>
      </c>
      <c r="D13" s="25" t="s">
        <v>41</v>
      </c>
      <c r="E13" s="25" t="s">
        <v>42</v>
      </c>
      <c r="F13" s="25" t="s">
        <v>43</v>
      </c>
      <c r="G13" s="26" t="s">
        <v>4</v>
      </c>
      <c r="H13" s="26"/>
      <c r="I13" s="27"/>
    </row>
    <row r="14" ht="72" customHeight="1" spans="1:9">
      <c r="A14" s="22">
        <v>6</v>
      </c>
      <c r="B14" s="23" t="s">
        <v>44</v>
      </c>
      <c r="C14" s="24" t="s">
        <v>45</v>
      </c>
      <c r="D14" s="24" t="s">
        <v>46</v>
      </c>
      <c r="E14" s="25" t="s">
        <v>47</v>
      </c>
      <c r="F14" s="25" t="s">
        <v>48</v>
      </c>
      <c r="G14" s="26" t="s">
        <v>4</v>
      </c>
      <c r="H14" s="26"/>
      <c r="I14" s="27"/>
    </row>
    <row r="15" ht="106" customHeight="1" spans="1:9">
      <c r="A15" s="22">
        <v>7</v>
      </c>
      <c r="B15" s="28"/>
      <c r="C15" s="24" t="s">
        <v>49</v>
      </c>
      <c r="D15" s="25" t="s">
        <v>50</v>
      </c>
      <c r="E15" s="25" t="s">
        <v>51</v>
      </c>
      <c r="F15" s="25" t="s">
        <v>52</v>
      </c>
      <c r="G15" s="26" t="s">
        <v>4</v>
      </c>
      <c r="H15" s="26"/>
      <c r="I15" s="27"/>
    </row>
    <row r="16" ht="92" customHeight="1" spans="1:9">
      <c r="A16" s="22">
        <v>8</v>
      </c>
      <c r="B16" s="28"/>
      <c r="C16" s="24" t="s">
        <v>53</v>
      </c>
      <c r="D16" s="25" t="s">
        <v>54</v>
      </c>
      <c r="E16" s="25" t="s">
        <v>55</v>
      </c>
      <c r="F16" s="25" t="s">
        <v>56</v>
      </c>
      <c r="G16" s="26" t="s">
        <v>4</v>
      </c>
      <c r="H16" s="26"/>
      <c r="I16" s="27"/>
    </row>
    <row r="17" ht="98" customHeight="1" spans="1:9">
      <c r="A17" s="22">
        <v>9</v>
      </c>
      <c r="B17" s="31"/>
      <c r="C17" s="24" t="s">
        <v>40</v>
      </c>
      <c r="D17" s="24" t="s">
        <v>41</v>
      </c>
      <c r="E17" s="25" t="s">
        <v>57</v>
      </c>
      <c r="F17" s="25" t="s">
        <v>58</v>
      </c>
      <c r="G17" s="26" t="s">
        <v>4</v>
      </c>
      <c r="H17" s="26"/>
      <c r="I17" s="27"/>
    </row>
    <row r="18" ht="72" customHeight="1" spans="1:9">
      <c r="A18" s="22">
        <v>10</v>
      </c>
      <c r="B18" s="23" t="s">
        <v>59</v>
      </c>
      <c r="C18" s="25" t="s">
        <v>60</v>
      </c>
      <c r="D18" s="24" t="s">
        <v>61</v>
      </c>
      <c r="E18" s="24" t="s">
        <v>62</v>
      </c>
      <c r="F18" s="25" t="s">
        <v>63</v>
      </c>
      <c r="G18" s="26" t="s">
        <v>4</v>
      </c>
      <c r="H18" s="26"/>
      <c r="I18" s="27"/>
    </row>
    <row r="19" ht="72" customHeight="1" spans="1:9">
      <c r="A19" s="22">
        <v>11</v>
      </c>
      <c r="B19" s="28"/>
      <c r="C19" s="24" t="s">
        <v>64</v>
      </c>
      <c r="D19" s="25" t="s">
        <v>65</v>
      </c>
      <c r="E19" s="25" t="s">
        <v>66</v>
      </c>
      <c r="F19" s="25" t="s">
        <v>67</v>
      </c>
      <c r="G19" s="26" t="s">
        <v>4</v>
      </c>
      <c r="H19" s="26"/>
      <c r="I19" s="27"/>
    </row>
    <row r="20" ht="72" customHeight="1" spans="1:9">
      <c r="A20" s="22">
        <v>12</v>
      </c>
      <c r="B20" s="31"/>
      <c r="C20" s="24" t="s">
        <v>68</v>
      </c>
      <c r="D20" s="25" t="s">
        <v>69</v>
      </c>
      <c r="E20" s="25" t="s">
        <v>70</v>
      </c>
      <c r="F20" s="25" t="s">
        <v>71</v>
      </c>
      <c r="G20" s="26" t="s">
        <v>4</v>
      </c>
      <c r="H20" s="26"/>
      <c r="I20" s="27"/>
    </row>
    <row r="21" ht="72" customHeight="1" spans="1:9">
      <c r="A21" s="22">
        <v>13</v>
      </c>
      <c r="B21" s="24"/>
      <c r="C21" s="24"/>
      <c r="D21" s="24"/>
      <c r="E21" s="24"/>
      <c r="F21" s="24"/>
      <c r="G21" s="26" t="s">
        <v>4</v>
      </c>
      <c r="H21" s="26"/>
      <c r="I21" s="27"/>
    </row>
    <row r="22" ht="72" customHeight="1" spans="1:9">
      <c r="A22" s="22">
        <v>14</v>
      </c>
      <c r="B22" s="24"/>
      <c r="C22" s="24"/>
      <c r="D22" s="24"/>
      <c r="E22" s="24"/>
      <c r="F22" s="24"/>
      <c r="G22" s="26" t="s">
        <v>4</v>
      </c>
      <c r="H22" s="26"/>
      <c r="I22" s="27"/>
    </row>
    <row r="23" ht="72" customHeight="1" spans="1:9">
      <c r="A23" s="22">
        <v>15</v>
      </c>
      <c r="B23" s="24"/>
      <c r="C23" s="24"/>
      <c r="D23" s="24"/>
      <c r="E23" s="24"/>
      <c r="F23" s="24"/>
      <c r="G23" s="26" t="s">
        <v>4</v>
      </c>
      <c r="H23" s="26"/>
      <c r="I23" s="27"/>
    </row>
    <row r="24" ht="72" customHeight="1" spans="1:9">
      <c r="A24" s="22">
        <v>16</v>
      </c>
      <c r="B24" s="24"/>
      <c r="C24" s="24"/>
      <c r="D24" s="24"/>
      <c r="E24" s="24"/>
      <c r="F24" s="24"/>
      <c r="G24" s="26" t="s">
        <v>4</v>
      </c>
      <c r="H24" s="26"/>
      <c r="I24" s="27"/>
    </row>
    <row r="25" ht="72" customHeight="1" spans="1:9">
      <c r="A25" s="22">
        <v>17</v>
      </c>
      <c r="B25" s="24"/>
      <c r="C25" s="24"/>
      <c r="D25" s="24"/>
      <c r="E25" s="24"/>
      <c r="F25" s="24"/>
      <c r="G25" s="26" t="s">
        <v>4</v>
      </c>
      <c r="H25" s="26"/>
      <c r="I25" s="27"/>
    </row>
    <row r="26" ht="72" customHeight="1" spans="1:9">
      <c r="A26" s="22">
        <v>18</v>
      </c>
      <c r="B26" s="24"/>
      <c r="C26" s="24"/>
      <c r="D26" s="24"/>
      <c r="E26" s="24"/>
      <c r="F26" s="24"/>
      <c r="G26" s="26" t="s">
        <v>4</v>
      </c>
      <c r="H26" s="26"/>
      <c r="I26" s="27"/>
    </row>
    <row r="27" ht="72" customHeight="1" spans="1:9">
      <c r="A27" s="22">
        <v>19</v>
      </c>
      <c r="B27" s="24"/>
      <c r="C27" s="24"/>
      <c r="D27" s="24"/>
      <c r="E27" s="24"/>
      <c r="F27" s="24"/>
      <c r="G27" s="26" t="s">
        <v>4</v>
      </c>
      <c r="H27" s="26"/>
      <c r="I27" s="27"/>
    </row>
    <row r="28" ht="24" customHeight="1" spans="1:9">
      <c r="A28" s="22">
        <v>20</v>
      </c>
      <c r="B28" s="24"/>
      <c r="C28" s="24"/>
      <c r="D28" s="24"/>
      <c r="E28" s="24"/>
      <c r="F28" s="24"/>
      <c r="G28" s="26" t="s">
        <v>4</v>
      </c>
      <c r="H28" s="26"/>
      <c r="I28" s="27"/>
    </row>
    <row r="29" ht="24" customHeight="1" spans="1:9">
      <c r="A29" s="22">
        <v>21</v>
      </c>
      <c r="B29" s="24"/>
      <c r="C29" s="24"/>
      <c r="D29" s="24"/>
      <c r="E29" s="24"/>
      <c r="F29" s="24"/>
      <c r="G29" s="26" t="s">
        <v>4</v>
      </c>
      <c r="H29" s="26"/>
      <c r="I29" s="27"/>
    </row>
    <row r="30" ht="24" customHeight="1" spans="1:9">
      <c r="A30" s="22">
        <v>22</v>
      </c>
      <c r="B30" s="24"/>
      <c r="C30" s="24"/>
      <c r="D30" s="24"/>
      <c r="E30" s="24"/>
      <c r="F30" s="24"/>
      <c r="G30" s="26" t="s">
        <v>4</v>
      </c>
      <c r="H30" s="26"/>
      <c r="I30" s="27"/>
    </row>
    <row r="31" ht="24" customHeight="1" spans="1:9">
      <c r="A31" s="22">
        <v>23</v>
      </c>
      <c r="B31" s="24"/>
      <c r="C31" s="24"/>
      <c r="D31" s="24"/>
      <c r="E31" s="24"/>
      <c r="F31" s="24"/>
      <c r="G31" s="26" t="s">
        <v>4</v>
      </c>
      <c r="H31" s="26"/>
      <c r="I31" s="27"/>
    </row>
    <row r="32" ht="24" customHeight="1" spans="1:9">
      <c r="A32" s="22">
        <v>24</v>
      </c>
      <c r="B32" s="24"/>
      <c r="C32" s="24"/>
      <c r="D32" s="24"/>
      <c r="E32" s="24"/>
      <c r="F32" s="24"/>
      <c r="G32" s="26" t="s">
        <v>4</v>
      </c>
      <c r="H32" s="26"/>
      <c r="I32" s="27"/>
    </row>
    <row r="33" ht="24" customHeight="1" spans="1:9">
      <c r="A33" s="22">
        <v>25</v>
      </c>
      <c r="B33" s="24"/>
      <c r="C33" s="24"/>
      <c r="D33" s="24"/>
      <c r="E33" s="24"/>
      <c r="F33" s="24"/>
      <c r="G33" s="26" t="s">
        <v>4</v>
      </c>
      <c r="H33" s="26"/>
      <c r="I33" s="27"/>
    </row>
    <row r="34" ht="24" customHeight="1" spans="1:9">
      <c r="A34" s="22">
        <v>26</v>
      </c>
      <c r="B34" s="24"/>
      <c r="C34" s="24"/>
      <c r="D34" s="24"/>
      <c r="E34" s="24"/>
      <c r="F34" s="24"/>
      <c r="G34" s="26" t="s">
        <v>4</v>
      </c>
      <c r="H34" s="26"/>
      <c r="I34" s="27"/>
    </row>
    <row r="35" ht="24" customHeight="1" spans="1:9">
      <c r="A35" s="22">
        <v>27</v>
      </c>
      <c r="B35" s="24"/>
      <c r="C35" s="24"/>
      <c r="D35" s="24"/>
      <c r="E35" s="24"/>
      <c r="F35" s="24"/>
      <c r="G35" s="26" t="s">
        <v>4</v>
      </c>
      <c r="H35" s="26"/>
      <c r="I35" s="27"/>
    </row>
    <row r="36" ht="24" customHeight="1" spans="1:9">
      <c r="A36" s="22">
        <v>28</v>
      </c>
      <c r="B36" s="24"/>
      <c r="C36" s="24"/>
      <c r="D36" s="24"/>
      <c r="E36" s="24"/>
      <c r="F36" s="24"/>
      <c r="G36" s="26" t="s">
        <v>4</v>
      </c>
      <c r="H36" s="26"/>
      <c r="I36" s="27"/>
    </row>
    <row r="37" ht="24" customHeight="1" spans="1:9">
      <c r="A37" s="22">
        <v>29</v>
      </c>
      <c r="B37" s="24"/>
      <c r="C37" s="24"/>
      <c r="D37" s="24"/>
      <c r="E37" s="24"/>
      <c r="F37" s="24"/>
      <c r="G37" s="26" t="s">
        <v>4</v>
      </c>
      <c r="H37" s="26"/>
      <c r="I37" s="27"/>
    </row>
    <row r="38" ht="24" customHeight="1" spans="1:9">
      <c r="A38" s="22">
        <v>30</v>
      </c>
      <c r="B38" s="24"/>
      <c r="C38" s="24"/>
      <c r="D38" s="24"/>
      <c r="E38" s="24"/>
      <c r="F38" s="24"/>
      <c r="G38" s="26" t="s">
        <v>4</v>
      </c>
      <c r="H38" s="26"/>
      <c r="I38" s="27"/>
    </row>
    <row r="39" ht="24" customHeight="1" spans="1:9">
      <c r="A39" s="22">
        <v>31</v>
      </c>
      <c r="B39" s="24"/>
      <c r="C39" s="24"/>
      <c r="D39" s="24"/>
      <c r="E39" s="24"/>
      <c r="F39" s="24"/>
      <c r="G39" s="26" t="s">
        <v>4</v>
      </c>
      <c r="H39" s="26"/>
      <c r="I39" s="27"/>
    </row>
    <row r="40" ht="24" customHeight="1" spans="1:9">
      <c r="A40" s="22">
        <v>32</v>
      </c>
      <c r="B40" s="24"/>
      <c r="C40" s="24"/>
      <c r="D40" s="24"/>
      <c r="E40" s="24"/>
      <c r="F40" s="24"/>
      <c r="G40" s="26" t="s">
        <v>4</v>
      </c>
      <c r="H40" s="26"/>
      <c r="I40" s="27"/>
    </row>
    <row r="41" ht="24" customHeight="1" spans="1:9">
      <c r="A41" s="22">
        <v>33</v>
      </c>
      <c r="B41" s="24"/>
      <c r="C41" s="24"/>
      <c r="D41" s="24"/>
      <c r="E41" s="24"/>
      <c r="F41" s="24"/>
      <c r="G41" s="26" t="s">
        <v>4</v>
      </c>
      <c r="H41" s="26"/>
      <c r="I41" s="27"/>
    </row>
    <row r="42" ht="24" customHeight="1" spans="1:9">
      <c r="A42" s="22">
        <v>34</v>
      </c>
      <c r="B42" s="24"/>
      <c r="C42" s="24"/>
      <c r="D42" s="24"/>
      <c r="E42" s="24"/>
      <c r="F42" s="24"/>
      <c r="G42" s="26" t="s">
        <v>4</v>
      </c>
      <c r="H42" s="26"/>
      <c r="I42" s="27"/>
    </row>
    <row r="43" ht="24" customHeight="1" spans="1:9">
      <c r="A43" s="22">
        <v>35</v>
      </c>
      <c r="B43" s="24"/>
      <c r="C43" s="24"/>
      <c r="D43" s="24"/>
      <c r="E43" s="24"/>
      <c r="F43" s="24"/>
      <c r="G43" s="26" t="s">
        <v>4</v>
      </c>
      <c r="H43" s="26"/>
      <c r="I43" s="27"/>
    </row>
    <row r="44" ht="24" customHeight="1" spans="1:9">
      <c r="A44" s="22">
        <v>36</v>
      </c>
      <c r="B44" s="24"/>
      <c r="C44" s="24"/>
      <c r="D44" s="24"/>
      <c r="E44" s="24"/>
      <c r="F44" s="24"/>
      <c r="G44" s="26" t="s">
        <v>4</v>
      </c>
      <c r="H44" s="26"/>
      <c r="I44" s="30"/>
    </row>
    <row r="45" ht="24" customHeight="1" spans="1:9">
      <c r="A45" s="22">
        <v>37</v>
      </c>
      <c r="B45" s="24"/>
      <c r="C45" s="24"/>
      <c r="D45" s="24"/>
      <c r="E45" s="24"/>
      <c r="F45" s="24"/>
      <c r="G45" s="26" t="s">
        <v>4</v>
      </c>
      <c r="H45" s="26"/>
      <c r="I45" s="30"/>
    </row>
    <row r="46" ht="24" customHeight="1" spans="1:9">
      <c r="A46" s="22">
        <v>38</v>
      </c>
      <c r="B46" s="24"/>
      <c r="C46" s="24"/>
      <c r="D46" s="24"/>
      <c r="E46" s="24"/>
      <c r="F46" s="24"/>
      <c r="G46" s="26" t="s">
        <v>4</v>
      </c>
      <c r="H46" s="26"/>
      <c r="I46" s="33"/>
    </row>
    <row r="47" ht="24" customHeight="1" spans="1:9">
      <c r="A47" s="22">
        <v>39</v>
      </c>
      <c r="B47" s="24"/>
      <c r="C47" s="24"/>
      <c r="D47" s="24"/>
      <c r="E47" s="24"/>
      <c r="F47" s="24"/>
      <c r="G47" s="26" t="s">
        <v>4</v>
      </c>
      <c r="H47" s="26"/>
      <c r="I47" s="33"/>
    </row>
    <row r="48" ht="24" customHeight="1" spans="1:9">
      <c r="A48" s="22">
        <v>40</v>
      </c>
      <c r="B48" s="24"/>
      <c r="C48" s="24"/>
      <c r="D48" s="24"/>
      <c r="E48" s="24"/>
      <c r="F48" s="24"/>
      <c r="G48" s="26" t="s">
        <v>4</v>
      </c>
      <c r="H48" s="26"/>
      <c r="I48" s="27"/>
    </row>
    <row r="49" ht="24" customHeight="1" spans="1:9">
      <c r="A49" s="22">
        <v>41</v>
      </c>
      <c r="B49" s="24"/>
      <c r="C49" s="24"/>
      <c r="D49" s="24"/>
      <c r="E49" s="24"/>
      <c r="F49" s="24"/>
      <c r="G49" s="26" t="s">
        <v>4</v>
      </c>
      <c r="H49" s="26"/>
      <c r="I49" s="27"/>
    </row>
    <row r="50" ht="24" customHeight="1" spans="1:9">
      <c r="A50" s="22">
        <v>42</v>
      </c>
      <c r="B50" s="24"/>
      <c r="C50" s="24"/>
      <c r="D50" s="24"/>
      <c r="E50" s="24"/>
      <c r="F50" s="24"/>
      <c r="G50" s="26" t="s">
        <v>4</v>
      </c>
      <c r="H50" s="26"/>
      <c r="I50" s="33"/>
    </row>
    <row r="51" ht="24" customHeight="1" spans="1:9">
      <c r="A51" s="22">
        <v>43</v>
      </c>
      <c r="B51" s="24"/>
      <c r="C51" s="24"/>
      <c r="D51" s="24"/>
      <c r="E51" s="24"/>
      <c r="F51" s="24"/>
      <c r="G51" s="26" t="s">
        <v>4</v>
      </c>
      <c r="H51" s="26"/>
      <c r="I51" s="33"/>
    </row>
    <row r="52" ht="24" customHeight="1" spans="1:9">
      <c r="A52" s="22">
        <v>44</v>
      </c>
      <c r="B52" s="24"/>
      <c r="C52" s="24"/>
      <c r="D52" s="24"/>
      <c r="E52" s="24"/>
      <c r="F52" s="24"/>
      <c r="G52" s="26" t="s">
        <v>4</v>
      </c>
      <c r="H52" s="26"/>
      <c r="I52" s="33"/>
    </row>
    <row r="53" ht="24" customHeight="1" spans="1:9">
      <c r="A53" s="22">
        <v>45</v>
      </c>
      <c r="B53" s="24"/>
      <c r="C53" s="24"/>
      <c r="D53" s="24"/>
      <c r="E53" s="24"/>
      <c r="F53" s="24"/>
      <c r="G53" s="26" t="s">
        <v>4</v>
      </c>
      <c r="H53" s="26"/>
      <c r="I53" s="33"/>
    </row>
    <row r="54" ht="24" customHeight="1" spans="1:9">
      <c r="A54" s="22">
        <v>46</v>
      </c>
      <c r="B54" s="24"/>
      <c r="C54" s="24"/>
      <c r="D54" s="24"/>
      <c r="E54" s="24"/>
      <c r="F54" s="24"/>
      <c r="G54" s="26" t="s">
        <v>4</v>
      </c>
      <c r="H54" s="26"/>
      <c r="I54" s="33"/>
    </row>
    <row r="55" ht="24" customHeight="1" spans="1:9">
      <c r="A55" s="22">
        <v>47</v>
      </c>
      <c r="B55" s="24"/>
      <c r="C55" s="24"/>
      <c r="D55" s="24"/>
      <c r="E55" s="24"/>
      <c r="F55" s="24"/>
      <c r="G55" s="26" t="s">
        <v>4</v>
      </c>
      <c r="H55" s="26"/>
      <c r="I55" s="33"/>
    </row>
    <row r="56" ht="24" customHeight="1" spans="1:9">
      <c r="A56" s="22">
        <v>48</v>
      </c>
      <c r="B56" s="24"/>
      <c r="C56" s="24"/>
      <c r="D56" s="24"/>
      <c r="E56" s="24"/>
      <c r="F56" s="24"/>
      <c r="G56" s="26" t="s">
        <v>4</v>
      </c>
      <c r="H56" s="26"/>
      <c r="I56" s="33"/>
    </row>
    <row r="57" ht="24" customHeight="1" spans="1:9">
      <c r="A57" s="22">
        <v>49</v>
      </c>
      <c r="B57" s="24"/>
      <c r="C57" s="24"/>
      <c r="D57" s="24"/>
      <c r="E57" s="24"/>
      <c r="F57" s="24"/>
      <c r="G57" s="26" t="s">
        <v>4</v>
      </c>
      <c r="H57" s="26"/>
      <c r="I57" s="27"/>
    </row>
    <row r="58" ht="24" customHeight="1" spans="1:9">
      <c r="A58" s="22">
        <v>50</v>
      </c>
      <c r="B58" s="24"/>
      <c r="C58" s="24"/>
      <c r="D58" s="24"/>
      <c r="E58" s="24"/>
      <c r="F58" s="24"/>
      <c r="G58" s="26" t="s">
        <v>4</v>
      </c>
      <c r="H58" s="26"/>
      <c r="I58" s="27"/>
    </row>
    <row r="59" ht="24" customHeight="1" spans="1:9">
      <c r="A59" s="22">
        <v>51</v>
      </c>
      <c r="B59" s="24"/>
      <c r="C59" s="24"/>
      <c r="D59" s="24"/>
      <c r="E59" s="24"/>
      <c r="F59" s="24"/>
      <c r="G59" s="26" t="s">
        <v>4</v>
      </c>
      <c r="H59" s="26"/>
      <c r="I59" s="27"/>
    </row>
    <row r="60" ht="24" customHeight="1" spans="1:9">
      <c r="A60" s="22">
        <v>52</v>
      </c>
      <c r="B60" s="24"/>
      <c r="C60" s="24"/>
      <c r="D60" s="24"/>
      <c r="E60" s="24"/>
      <c r="F60" s="24"/>
      <c r="G60" s="26" t="s">
        <v>4</v>
      </c>
      <c r="H60" s="26"/>
      <c r="I60" s="27"/>
    </row>
    <row r="61" ht="24" customHeight="1" spans="1:9">
      <c r="A61" s="22">
        <v>53</v>
      </c>
      <c r="B61" s="24"/>
      <c r="C61" s="24"/>
      <c r="D61" s="24"/>
      <c r="E61" s="24"/>
      <c r="F61" s="24"/>
      <c r="G61" s="26"/>
      <c r="H61" s="26"/>
      <c r="I61" s="27"/>
    </row>
    <row r="62" ht="24" customHeight="1" spans="1:9">
      <c r="A62" s="22">
        <v>54</v>
      </c>
      <c r="B62" s="24"/>
      <c r="C62" s="24"/>
      <c r="D62" s="24"/>
      <c r="E62" s="24"/>
      <c r="F62" s="24"/>
      <c r="G62" s="26"/>
      <c r="H62" s="26"/>
      <c r="I62" s="27"/>
    </row>
    <row r="63" ht="24" customHeight="1" spans="1:9">
      <c r="A63" s="22">
        <v>55</v>
      </c>
      <c r="B63" s="24"/>
      <c r="C63" s="24"/>
      <c r="D63" s="24"/>
      <c r="E63" s="24"/>
      <c r="F63" s="24"/>
      <c r="G63" s="26"/>
      <c r="H63" s="26"/>
      <c r="I63" s="27"/>
    </row>
    <row r="64" ht="24" customHeight="1" spans="1:9">
      <c r="A64" s="22">
        <v>56</v>
      </c>
      <c r="B64" s="24"/>
      <c r="C64" s="24"/>
      <c r="D64" s="24"/>
      <c r="E64" s="24"/>
      <c r="F64" s="24"/>
      <c r="G64" s="26"/>
      <c r="H64" s="26"/>
      <c r="I64" s="27"/>
    </row>
    <row r="65" ht="24" customHeight="1" spans="1:9">
      <c r="A65" s="22">
        <v>57</v>
      </c>
      <c r="B65" s="24"/>
      <c r="C65" s="24"/>
      <c r="D65" s="24"/>
      <c r="E65" s="24"/>
      <c r="F65" s="24"/>
      <c r="G65" s="26"/>
      <c r="H65" s="26"/>
      <c r="I65" s="27"/>
    </row>
    <row r="66" ht="24" customHeight="1" spans="1:9">
      <c r="A66" s="22">
        <v>58</v>
      </c>
      <c r="B66" s="24"/>
      <c r="C66" s="24"/>
      <c r="D66" s="24"/>
      <c r="E66" s="24"/>
      <c r="F66" s="24"/>
      <c r="G66" s="26"/>
      <c r="H66" s="26"/>
      <c r="I66" s="27"/>
    </row>
    <row r="67" ht="24" customHeight="1" spans="1:9">
      <c r="A67" s="22">
        <v>59</v>
      </c>
      <c r="B67" s="24"/>
      <c r="C67" s="24"/>
      <c r="D67" s="24"/>
      <c r="E67" s="24"/>
      <c r="F67" s="24"/>
      <c r="G67" s="26"/>
      <c r="H67" s="26"/>
      <c r="I67" s="27"/>
    </row>
    <row r="68" ht="24" customHeight="1" spans="1:9">
      <c r="A68" s="22">
        <v>60</v>
      </c>
      <c r="B68" s="24"/>
      <c r="C68" s="24"/>
      <c r="D68" s="24"/>
      <c r="E68" s="24"/>
      <c r="F68" s="24"/>
      <c r="G68" s="26"/>
      <c r="H68" s="26"/>
      <c r="I68" s="27"/>
    </row>
    <row r="69" ht="24" customHeight="1" spans="1:9">
      <c r="A69" s="22">
        <v>61</v>
      </c>
      <c r="B69" s="24"/>
      <c r="C69" s="24"/>
      <c r="D69" s="24"/>
      <c r="E69" s="24"/>
      <c r="F69" s="24"/>
      <c r="G69" s="26"/>
      <c r="H69" s="26"/>
      <c r="I69" s="27"/>
    </row>
    <row r="70" ht="24" customHeight="1" spans="1:9">
      <c r="A70" s="22">
        <v>62</v>
      </c>
      <c r="B70" s="24"/>
      <c r="C70" s="24"/>
      <c r="D70" s="24"/>
      <c r="E70" s="24"/>
      <c r="F70" s="24"/>
      <c r="G70" s="26"/>
      <c r="H70" s="26"/>
      <c r="I70" s="27"/>
    </row>
    <row r="71" ht="24" customHeight="1" spans="1:9">
      <c r="A71" s="22">
        <v>63</v>
      </c>
      <c r="B71" s="24"/>
      <c r="C71" s="24"/>
      <c r="D71" s="24"/>
      <c r="E71" s="24"/>
      <c r="F71" s="24"/>
      <c r="G71" s="26"/>
      <c r="H71" s="26"/>
      <c r="I71" s="27"/>
    </row>
    <row r="72" ht="24" customHeight="1" spans="1:9">
      <c r="A72" s="22">
        <v>64</v>
      </c>
      <c r="B72" s="24"/>
      <c r="C72" s="24"/>
      <c r="D72" s="24"/>
      <c r="E72" s="24"/>
      <c r="F72" s="24"/>
      <c r="G72" s="26"/>
      <c r="H72" s="26"/>
      <c r="I72" s="27"/>
    </row>
    <row r="73" ht="24" customHeight="1" spans="1:9">
      <c r="A73" s="22">
        <v>65</v>
      </c>
      <c r="B73" s="24"/>
      <c r="C73" s="24"/>
      <c r="D73" s="24"/>
      <c r="E73" s="24"/>
      <c r="F73" s="24"/>
      <c r="G73" s="26"/>
      <c r="H73" s="26"/>
      <c r="I73" s="27"/>
    </row>
    <row r="74" ht="24" customHeight="1" spans="1:9">
      <c r="A74" s="22">
        <v>66</v>
      </c>
      <c r="B74" s="24"/>
      <c r="C74" s="24"/>
      <c r="D74" s="24"/>
      <c r="E74" s="24"/>
      <c r="F74" s="24"/>
      <c r="G74" s="26"/>
      <c r="H74" s="26"/>
      <c r="I74" s="27"/>
    </row>
    <row r="75" ht="24" customHeight="1" spans="1:9">
      <c r="A75" s="22">
        <v>67</v>
      </c>
      <c r="B75" s="24"/>
      <c r="C75" s="24"/>
      <c r="D75" s="24"/>
      <c r="E75" s="24"/>
      <c r="F75" s="24"/>
      <c r="G75" s="26"/>
      <c r="H75" s="26"/>
      <c r="I75" s="27"/>
    </row>
    <row r="76" ht="24" customHeight="1" spans="1:9">
      <c r="A76" s="22">
        <v>68</v>
      </c>
      <c r="B76" s="24"/>
      <c r="C76" s="24"/>
      <c r="D76" s="24"/>
      <c r="E76" s="24"/>
      <c r="F76" s="24"/>
      <c r="G76" s="26"/>
      <c r="H76" s="26"/>
      <c r="I76" s="27"/>
    </row>
    <row r="77" ht="24" customHeight="1" spans="1:9">
      <c r="A77" s="22">
        <v>69</v>
      </c>
      <c r="B77" s="24"/>
      <c r="C77" s="24"/>
      <c r="D77" s="24"/>
      <c r="E77" s="24"/>
      <c r="F77" s="24"/>
      <c r="G77" s="26"/>
      <c r="H77" s="26"/>
      <c r="I77" s="27"/>
    </row>
    <row r="78" ht="24" customHeight="1" spans="1:9">
      <c r="A78" s="22">
        <v>70</v>
      </c>
      <c r="B78" s="24"/>
      <c r="C78" s="24"/>
      <c r="D78" s="24"/>
      <c r="E78" s="24"/>
      <c r="F78" s="24"/>
      <c r="G78" s="26"/>
      <c r="H78" s="26"/>
      <c r="I78" s="27"/>
    </row>
    <row r="79" ht="24" customHeight="1" spans="1:9">
      <c r="A79" s="22">
        <v>71</v>
      </c>
      <c r="B79" s="24"/>
      <c r="C79" s="24"/>
      <c r="D79" s="24"/>
      <c r="E79" s="24"/>
      <c r="F79" s="24"/>
      <c r="G79" s="26"/>
      <c r="H79" s="26"/>
      <c r="I79" s="27"/>
    </row>
    <row r="80" ht="24" customHeight="1" spans="1:9">
      <c r="A80" s="22">
        <v>72</v>
      </c>
      <c r="B80" s="24"/>
      <c r="C80" s="24"/>
      <c r="D80" s="24"/>
      <c r="E80" s="24"/>
      <c r="F80" s="24"/>
      <c r="G80" s="26"/>
      <c r="H80" s="26"/>
      <c r="I80" s="27"/>
    </row>
    <row r="81" ht="24" customHeight="1" spans="1:9">
      <c r="A81" s="22">
        <v>73</v>
      </c>
      <c r="B81" s="24"/>
      <c r="C81" s="24"/>
      <c r="D81" s="24"/>
      <c r="E81" s="24"/>
      <c r="F81" s="24"/>
      <c r="G81" s="26"/>
      <c r="H81" s="26"/>
      <c r="I81" s="27"/>
    </row>
    <row r="82" ht="24" customHeight="1" spans="1:9">
      <c r="A82" s="22">
        <v>74</v>
      </c>
      <c r="B82" s="24"/>
      <c r="C82" s="24"/>
      <c r="D82" s="24"/>
      <c r="E82" s="24"/>
      <c r="F82" s="24"/>
      <c r="G82" s="26"/>
      <c r="H82" s="26"/>
      <c r="I82" s="27"/>
    </row>
    <row r="83" ht="24" customHeight="1" spans="1:9">
      <c r="A83" s="22">
        <v>75</v>
      </c>
      <c r="B83" s="24"/>
      <c r="C83" s="24"/>
      <c r="D83" s="24"/>
      <c r="E83" s="24"/>
      <c r="F83" s="24"/>
      <c r="G83" s="26"/>
      <c r="H83" s="26"/>
      <c r="I83" s="27"/>
    </row>
    <row r="84" ht="24" customHeight="1" spans="1:9">
      <c r="A84" s="22">
        <v>76</v>
      </c>
      <c r="B84" s="24"/>
      <c r="C84" s="24"/>
      <c r="D84" s="24"/>
      <c r="E84" s="24"/>
      <c r="F84" s="24"/>
      <c r="G84" s="26"/>
      <c r="H84" s="26"/>
      <c r="I84" s="27"/>
    </row>
    <row r="85" ht="24" customHeight="1" spans="1:9">
      <c r="A85" s="22">
        <v>77</v>
      </c>
      <c r="B85" s="24"/>
      <c r="C85" s="24"/>
      <c r="D85" s="24"/>
      <c r="E85" s="24"/>
      <c r="F85" s="24"/>
      <c r="G85" s="26"/>
      <c r="H85" s="26"/>
      <c r="I85" s="27"/>
    </row>
    <row r="86" ht="24" customHeight="1" spans="1:9">
      <c r="A86" s="22">
        <v>78</v>
      </c>
      <c r="B86" s="24"/>
      <c r="C86" s="24"/>
      <c r="D86" s="24"/>
      <c r="E86" s="24"/>
      <c r="F86" s="24"/>
      <c r="G86" s="26"/>
      <c r="H86" s="26"/>
      <c r="I86" s="27"/>
    </row>
    <row r="87" ht="24" customHeight="1" spans="1:9">
      <c r="A87" s="22">
        <v>79</v>
      </c>
      <c r="B87" s="24"/>
      <c r="C87" s="24"/>
      <c r="D87" s="24"/>
      <c r="E87" s="24"/>
      <c r="F87" s="24"/>
      <c r="G87" s="26"/>
      <c r="H87" s="26"/>
      <c r="I87" s="27"/>
    </row>
    <row r="88" ht="24" customHeight="1" spans="1:9">
      <c r="A88" s="22">
        <v>80</v>
      </c>
      <c r="B88" s="24"/>
      <c r="C88" s="24"/>
      <c r="D88" s="24"/>
      <c r="E88" s="24"/>
      <c r="F88" s="24"/>
      <c r="G88" s="26"/>
      <c r="H88" s="26"/>
      <c r="I88" s="27"/>
    </row>
    <row r="89" ht="24" customHeight="1" spans="1:9">
      <c r="A89" s="22">
        <v>81</v>
      </c>
      <c r="B89" s="24"/>
      <c r="C89" s="24"/>
      <c r="D89" s="24"/>
      <c r="E89" s="24"/>
      <c r="F89" s="24"/>
      <c r="G89" s="26"/>
      <c r="H89" s="26"/>
      <c r="I89" s="27"/>
    </row>
    <row r="90" ht="24" customHeight="1" spans="1:9">
      <c r="A90" s="22">
        <v>82</v>
      </c>
      <c r="B90" s="24"/>
      <c r="C90" s="24"/>
      <c r="D90" s="24"/>
      <c r="E90" s="24"/>
      <c r="F90" s="24"/>
      <c r="G90" s="26"/>
      <c r="H90" s="26"/>
      <c r="I90" s="27"/>
    </row>
    <row r="91" ht="24" customHeight="1" spans="1:9">
      <c r="A91" s="22">
        <v>83</v>
      </c>
      <c r="B91" s="24"/>
      <c r="C91" s="24"/>
      <c r="D91" s="24"/>
      <c r="E91" s="24"/>
      <c r="F91" s="24"/>
      <c r="G91" s="26"/>
      <c r="H91" s="26"/>
      <c r="I91" s="27"/>
    </row>
    <row r="92" ht="24" customHeight="1" spans="1:9">
      <c r="A92" s="22">
        <v>84</v>
      </c>
      <c r="B92" s="24"/>
      <c r="C92" s="24"/>
      <c r="D92" s="24"/>
      <c r="E92" s="24"/>
      <c r="F92" s="24"/>
      <c r="G92" s="26"/>
      <c r="H92" s="26"/>
      <c r="I92" s="27"/>
    </row>
    <row r="93" ht="24" customHeight="1" spans="1:9">
      <c r="A93" s="22">
        <v>85</v>
      </c>
      <c r="B93" s="24"/>
      <c r="C93" s="24"/>
      <c r="D93" s="24"/>
      <c r="E93" s="24"/>
      <c r="F93" s="24"/>
      <c r="G93" s="26"/>
      <c r="H93" s="26"/>
      <c r="I93" s="27"/>
    </row>
    <row r="94" ht="24" customHeight="1" spans="1:9">
      <c r="A94" s="22">
        <v>86</v>
      </c>
      <c r="B94" s="24"/>
      <c r="C94" s="24"/>
      <c r="D94" s="24"/>
      <c r="E94" s="24"/>
      <c r="F94" s="24"/>
      <c r="G94" s="26"/>
      <c r="H94" s="26"/>
      <c r="I94" s="27"/>
    </row>
    <row r="95" ht="24" customHeight="1" spans="1:9">
      <c r="A95" s="22">
        <v>87</v>
      </c>
      <c r="B95" s="24"/>
      <c r="C95" s="24"/>
      <c r="D95" s="24"/>
      <c r="E95" s="24"/>
      <c r="F95" s="24"/>
      <c r="G95" s="26"/>
      <c r="H95" s="26"/>
      <c r="I95" s="27"/>
    </row>
    <row r="96" ht="24" customHeight="1" spans="1:9">
      <c r="A96" s="22">
        <v>88</v>
      </c>
      <c r="B96" s="24"/>
      <c r="C96" s="24"/>
      <c r="D96" s="24"/>
      <c r="E96" s="24"/>
      <c r="F96" s="24"/>
      <c r="G96" s="26"/>
      <c r="H96" s="26"/>
      <c r="I96" s="27"/>
    </row>
    <row r="97" ht="18" spans="1:9">
      <c r="A97" s="34" t="s">
        <v>72</v>
      </c>
      <c r="B97" s="34"/>
      <c r="C97" s="34"/>
      <c r="D97" s="34"/>
      <c r="E97" s="34"/>
      <c r="F97" s="34"/>
      <c r="G97" s="34"/>
      <c r="H97" s="34"/>
      <c r="I97" s="34"/>
    </row>
    <row r="98" ht="18" spans="1:9">
      <c r="A98" s="34" t="s">
        <v>73</v>
      </c>
      <c r="B98" s="34"/>
      <c r="C98" s="34"/>
      <c r="D98" s="34"/>
      <c r="E98" s="34"/>
      <c r="F98" s="34"/>
      <c r="G98" s="34"/>
      <c r="H98" s="34"/>
      <c r="I98" s="34"/>
    </row>
    <row r="99" ht="17.25" spans="1:9">
      <c r="A99" s="22"/>
      <c r="B99" s="35"/>
      <c r="C99" s="35"/>
      <c r="D99" s="35"/>
      <c r="E99" s="35"/>
      <c r="F99" s="35"/>
      <c r="G99" s="36"/>
      <c r="H99" s="36"/>
      <c r="I99" s="37"/>
    </row>
    <row r="100" ht="17.25" spans="1:9">
      <c r="A100" s="22"/>
      <c r="B100" s="35"/>
      <c r="C100" s="35"/>
      <c r="D100" s="35"/>
      <c r="E100" s="35"/>
      <c r="F100" s="35"/>
      <c r="G100" s="36"/>
      <c r="H100" s="36"/>
      <c r="I100" s="37"/>
    </row>
    <row r="101" ht="17.25" spans="1:9">
      <c r="A101" s="22"/>
      <c r="B101" s="35"/>
      <c r="C101" s="35"/>
      <c r="D101" s="35"/>
      <c r="E101" s="35"/>
      <c r="F101" s="35"/>
      <c r="G101" s="36"/>
      <c r="H101" s="36"/>
      <c r="I101" s="37"/>
    </row>
    <row r="102" ht="17.25" spans="1:9">
      <c r="A102" s="22"/>
      <c r="B102" s="35"/>
      <c r="C102" s="35"/>
      <c r="D102" s="35"/>
      <c r="E102" s="35"/>
      <c r="F102" s="35"/>
      <c r="G102" s="36"/>
      <c r="H102" s="36"/>
      <c r="I102" s="37"/>
    </row>
    <row r="103" ht="17.25" spans="1:9">
      <c r="A103" s="22"/>
      <c r="B103" s="35"/>
      <c r="C103" s="35"/>
      <c r="D103" s="35"/>
      <c r="E103" s="35"/>
      <c r="F103" s="35"/>
      <c r="G103" s="36"/>
      <c r="H103" s="36"/>
      <c r="I103" s="37"/>
    </row>
    <row r="104" ht="18" spans="1:9">
      <c r="A104" s="34" t="s">
        <v>74</v>
      </c>
      <c r="B104" s="34"/>
      <c r="C104" s="34"/>
      <c r="D104" s="34"/>
      <c r="E104" s="34"/>
      <c r="F104" s="34"/>
      <c r="G104" s="34"/>
      <c r="H104" s="34"/>
      <c r="I104" s="34"/>
    </row>
    <row r="105" ht="16.5" spans="1:9">
      <c r="A105" s="22"/>
      <c r="B105" s="35"/>
      <c r="C105" s="35"/>
      <c r="D105" s="38"/>
      <c r="E105" s="38"/>
      <c r="F105" s="35"/>
      <c r="G105" s="37"/>
      <c r="H105" s="37"/>
      <c r="I105" s="37"/>
    </row>
    <row r="106" ht="17.25" spans="1:9">
      <c r="A106" s="22"/>
      <c r="B106" s="35"/>
      <c r="C106" s="35"/>
      <c r="D106" s="38"/>
      <c r="E106" s="38"/>
      <c r="F106" s="35"/>
      <c r="G106" s="36"/>
      <c r="H106" s="36"/>
      <c r="I106" s="37"/>
    </row>
    <row r="107" ht="17.25" spans="1:9">
      <c r="A107" s="22"/>
      <c r="B107" s="35"/>
      <c r="C107" s="35"/>
      <c r="D107" s="38"/>
      <c r="E107" s="38"/>
      <c r="F107" s="35"/>
      <c r="G107" s="36"/>
      <c r="H107" s="36"/>
      <c r="I107" s="37"/>
    </row>
    <row r="108" ht="17.25" spans="1:9">
      <c r="A108" s="22"/>
      <c r="B108" s="35"/>
      <c r="C108" s="35"/>
      <c r="D108" s="38"/>
      <c r="E108" s="38"/>
      <c r="F108" s="35"/>
      <c r="G108" s="36"/>
      <c r="H108" s="36"/>
      <c r="I108" s="37"/>
    </row>
    <row r="109" ht="17.25" spans="1:9">
      <c r="A109" s="22"/>
      <c r="B109" s="33"/>
      <c r="C109" s="33"/>
      <c r="D109" s="38"/>
      <c r="E109" s="38"/>
      <c r="F109" s="35"/>
      <c r="G109" s="39"/>
      <c r="H109" s="39"/>
      <c r="I109" s="40"/>
    </row>
    <row r="110" ht="17.25" spans="1:9">
      <c r="A110" s="22"/>
      <c r="B110" s="33"/>
      <c r="C110" s="33"/>
      <c r="D110" s="38"/>
      <c r="E110" s="38"/>
      <c r="F110" s="35"/>
      <c r="G110" s="39"/>
      <c r="H110" s="39"/>
      <c r="I110" s="40"/>
    </row>
    <row r="111" ht="17.25" spans="1:9">
      <c r="A111" s="22"/>
      <c r="B111" s="33"/>
      <c r="C111" s="33"/>
      <c r="D111" s="38"/>
      <c r="E111" s="38"/>
      <c r="F111" s="35"/>
      <c r="G111" s="39"/>
      <c r="H111" s="39"/>
      <c r="I111" s="40"/>
    </row>
    <row r="112" ht="18" spans="1:9">
      <c r="A112" s="34" t="s">
        <v>75</v>
      </c>
      <c r="B112" s="34"/>
      <c r="C112" s="34"/>
      <c r="D112" s="34"/>
      <c r="E112" s="34"/>
      <c r="F112" s="34"/>
      <c r="G112" s="34"/>
      <c r="H112" s="34"/>
      <c r="I112" s="34"/>
    </row>
    <row r="113" ht="16.5" spans="1:9">
      <c r="A113" s="41"/>
      <c r="B113" s="35"/>
      <c r="C113" s="35"/>
      <c r="D113" s="35"/>
      <c r="E113" s="35"/>
      <c r="F113" s="35"/>
      <c r="G113" s="42"/>
      <c r="H113" s="42"/>
      <c r="I113" s="35"/>
    </row>
    <row r="114" ht="16.5" spans="1:9">
      <c r="A114" s="41"/>
      <c r="B114" s="35"/>
      <c r="C114" s="35"/>
      <c r="D114" s="35"/>
      <c r="E114" s="35"/>
      <c r="F114" s="35"/>
      <c r="G114" s="42"/>
      <c r="H114" s="42"/>
      <c r="I114" s="35"/>
    </row>
    <row r="115" ht="16.5" spans="1:9">
      <c r="A115" s="41"/>
      <c r="B115" s="35"/>
      <c r="C115" s="35"/>
      <c r="D115" s="35"/>
      <c r="E115" s="35"/>
      <c r="F115" s="35"/>
      <c r="G115" s="42"/>
      <c r="H115" s="42"/>
      <c r="I115" s="35"/>
    </row>
  </sheetData>
  <mergeCells count="11">
    <mergeCell ref="A1:E1"/>
    <mergeCell ref="B6:E6"/>
    <mergeCell ref="A97:I97"/>
    <mergeCell ref="A98:I98"/>
    <mergeCell ref="A104:I104"/>
    <mergeCell ref="A112:I112"/>
    <mergeCell ref="B9:B13"/>
    <mergeCell ref="B14:B17"/>
    <mergeCell ref="B18:B20"/>
    <mergeCell ref="C10:C11"/>
    <mergeCell ref="E10:E11"/>
  </mergeCells>
  <conditionalFormatting sqref="G9:H9">
    <cfRule type="cellIs" dxfId="0" priority="25" stopIfTrue="1" operator="equal">
      <formula>"N/A"</formula>
    </cfRule>
    <cfRule type="cellIs" dxfId="1" priority="26" stopIfTrue="1" operator="equal">
      <formula>"Fail"</formula>
    </cfRule>
    <cfRule type="cellIs" dxfId="2" priority="27" stopIfTrue="1" operator="equal">
      <formula>"Pass"</formula>
    </cfRule>
  </conditionalFormatting>
  <conditionalFormatting sqref="G10:H60">
    <cfRule type="cellIs" dxfId="0" priority="1" stopIfTrue="1" operator="equal">
      <formula>"N/A"</formula>
    </cfRule>
    <cfRule type="cellIs" dxfId="1" priority="2" stopIfTrue="1" operator="equal">
      <formula>"Fail"</formula>
    </cfRule>
    <cfRule type="cellIs" dxfId="2" priority="3" stopIfTrue="1" operator="equal">
      <formula>"Pass"</formula>
    </cfRule>
  </conditionalFormatting>
  <conditionalFormatting sqref="G61:H96 G109:H111">
    <cfRule type="cellIs" dxfId="0" priority="28" stopIfTrue="1" operator="equal">
      <formula>"N/A"</formula>
    </cfRule>
    <cfRule type="cellIs" dxfId="1" priority="29" stopIfTrue="1" operator="equal">
      <formula>"Fail"</formula>
    </cfRule>
    <cfRule type="cellIs" dxfId="2" priority="30" stopIfTrue="1" operator="equal">
      <formula>"Pass"</formula>
    </cfRule>
  </conditionalFormatting>
  <conditionalFormatting sqref="G99:H103 G106:H108">
    <cfRule type="cellIs" dxfId="0" priority="4" stopIfTrue="1" operator="equal">
      <formula>"N/A"</formula>
    </cfRule>
    <cfRule type="cellIs" dxfId="1" priority="5" stopIfTrue="1" operator="equal">
      <formula>"Fail"</formula>
    </cfRule>
    <cfRule type="cellIs" dxfId="2" priority="6" stopIfTrue="1" operator="equal">
      <formula>"Pass"</formula>
    </cfRule>
  </conditionalFormatting>
  <conditionalFormatting sqref="G113:H115">
    <cfRule type="cellIs" dxfId="0" priority="13" stopIfTrue="1" operator="equal">
      <formula>"N/A"</formula>
    </cfRule>
    <cfRule type="cellIs" dxfId="1" priority="14" stopIfTrue="1" operator="equal">
      <formula>"Fail"</formula>
    </cfRule>
    <cfRule type="cellIs" dxfId="2" priority="15" stopIfTrue="1" operator="equal">
      <formula>"Pass"</formula>
    </cfRule>
  </conditionalFormatting>
  <dataValidations count="3">
    <dataValidation type="list" allowBlank="1" showInputMessage="1" showErrorMessage="1" sqref="F97:H97 F98 F104">
      <formula1>$E$2:$E$4</formula1>
    </dataValidation>
    <dataValidation type="list" allowBlank="1" showInputMessage="1" showErrorMessage="1" sqref="C104 C97:C98">
      <formula1>#REF!</formula1>
    </dataValidation>
    <dataValidation type="list" allowBlank="1" showInputMessage="1" showErrorMessage="1" sqref="G9:H96 G99:H103 G106:H111 G113:H115">
      <formula1>$F$2:$F$4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30"/>
  <sheetViews>
    <sheetView topLeftCell="A178" workbookViewId="0">
      <selection activeCell="A9" sqref="A9"/>
    </sheetView>
  </sheetViews>
  <sheetFormatPr defaultColWidth="9" defaultRowHeight="13.5"/>
  <cols>
    <col min="1" max="1" width="105.125" customWidth="1"/>
  </cols>
  <sheetData>
    <row r="1" ht="21.75" customHeight="1"/>
    <row r="2" ht="21.75" customHeight="1" spans="1:1">
      <c r="A2" s="1"/>
    </row>
    <row r="3" ht="21.75" customHeight="1" spans="1:1">
      <c r="A3" s="2"/>
    </row>
    <row r="4" ht="21.75" customHeight="1"/>
    <row r="5" ht="21.75" customHeight="1"/>
    <row r="6" ht="21.75" customHeight="1"/>
    <row r="7" ht="21.75" customHeight="1"/>
    <row r="8" ht="21.75" customHeight="1"/>
    <row r="9" ht="21.75" customHeight="1"/>
    <row r="10" ht="21.75" customHeight="1"/>
    <row r="11" ht="21.75" customHeight="1"/>
    <row r="12" ht="21.75" customHeight="1"/>
    <row r="13" ht="21.75" customHeight="1"/>
    <row r="14" ht="21.75" customHeight="1"/>
    <row r="15" ht="21.75" customHeight="1"/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ageMargins left="0.75" right="0.75" top="1" bottom="1" header="0.5" footer="0.5"/>
  <pageSetup paperSize="9" orientation="portrait" horizont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整体数据概览与留存报表优化--测试用例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魏向前</cp:lastModifiedBy>
  <dcterms:created xsi:type="dcterms:W3CDTF">2022-02-14T09:35:00Z</dcterms:created>
  <dcterms:modified xsi:type="dcterms:W3CDTF">2026-03-11T06:32:50Z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