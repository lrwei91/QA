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新增VIP等级变更记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<sst xmlns="http://schemas.openxmlformats.org/spreadsheetml/2006/main" count="69" uniqueCount="62">
  <si>
    <t xml:space="preserve"> 新增VIP等级变更记录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</si>
  <si>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</si>
  <si>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</si>
  <si>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</si>
  <si>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</si>
  <si>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</si>
  <si>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</si>
  <si>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</si>
  <si>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</si>
  <si>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</si>
  <si>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</si>
  <si>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</si>
  <si>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</si>
  <si>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</si>
  <si>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</si>
  <si>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</si>
  <si>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</si>
  <si>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</si>
  <si>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</si>
  <si>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</si>
  <si>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</si>
  <si>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</si>
  <si>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</si>
  <si>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帐服后台</t>
  </si>
  <si>
    <t>报表 - 菜单与数据展示</t>
  </si>
  <si>
    <t>【VIP 等级变更记录】菜单有权限即显示，新旧模式下数据展示差异</t>
  </si>
  <si>
    <t>1. 用户拥有 “报表 - VIP 等级变更记录” 二级权限；
2. 后台支持 VIP 新旧模式切换；
3. 新模式下存在玩家 VIP 变更记录。</t>
  </si>
  <si>
    <t>1. VIP 旧模式，进入 “报表” 模块；
2. 点击 “VIP 等级变更记录” 菜单；
3. 将后台切换为 VIP 新模式，再次进入该菜单。</t>
  </si>
  <si>
    <t>1. 旧模式下，菜单正常显示，但数据区域显示 “暂无相关数据”；
2. 新模式下，菜单显示且数据区域展示已有的 VIP 变更记录。</t>
  </si>
  <si>
    <t>pass</t>
  </si>
  <si>
    <t>报表 - VIP 等级变更记录</t>
  </si>
  <si>
    <t>报表默认查询与排序规则（默认今日、时间倒叙）</t>
  </si>
  <si>
    <t>1. 后台处于 VIP 新模式；
2. 用户拥有对应权限；
3. 存在多条玩家 VIP 变更记录（时间覆盖今日、昨日）。</t>
  </si>
  <si>
    <t>1. 进入 “VIP 等级变更记录” 报表页面；
2. 查看默认时间范围与记录排序；
3. 调整时间范围为 “本周” 并搜索。</t>
  </si>
  <si>
    <t>1. 默认时间范围为 “今日”；
2. 记录按 “变更时间” 倒叙排列；
3. 调整范围后显示对应区间记录</t>
  </si>
  <si>
    <t>报表字段展示（变更类型、操作人）</t>
  </si>
  <si>
    <t>1. 后台处于 VIP 新模式；
2. 存在 2 条变更记录：
- 记录 1：活动赠送（渠道注册赠送 VIP）；
- 记录 2：正常升级；
3. 进入报表页面。</t>
  </si>
  <si>
    <t>1. 查看记录的 “变更类型”“操作人” 字段</t>
  </si>
  <si>
    <t>1. 记录 1 “变更类型” 显示 “活动赠送”，记录 2 显示 “正常升级”；
2. 两条记录 “操作人” 均显示 “-”（本期无管理员操作）；
3. 字段包含 UID、变更前 / 后等级、类型、操作人、时间。</t>
  </si>
  <si>
    <t>无权限时菜单隐藏</t>
  </si>
  <si>
    <t>1. 用户无 “报表 - VIP 等级变更记录” 二级权限；
2. 后台处于 VIP 新模式。</t>
  </si>
  <si>
    <t>1. 进入 “报表” 模块；
2. 查看是否有 “VIP 等级变更记录” 菜单。</t>
  </si>
  <si>
    <t>1. 报表模块无 “VIP 等级变更记录” 菜单，符合权限控制逻辑。</t>
  </si>
  <si>
    <t>权限管理 - 报表权限</t>
  </si>
  <si>
    <t>【VIP 等级变更记录】二级权限的预设与显隐逻辑</t>
  </si>
  <si>
    <t>1. 后台新增 “VIP 等级变更记录” 二级权限；
2. 进入权限管理页面查看默认权限组。</t>
  </si>
  <si>
    <t>1. 找到 “报表” 模块下的 “VIP 等级变更记录” 二级权限；
2. 查看权限组预设状态与菜单显隐关联。</t>
  </si>
  <si>
    <t>1. 权限组中该权限预设为 “关闭” 状态；
2. 权限关闭时，报表模块无该菜单；权限开启时，菜单显示（新旧模式均显示，仅数据有差异）。</t>
  </si>
  <si>
    <t>玩家管理 - 玩家详情</t>
  </si>
  <si>
    <t>【VIP 等级变更记录】模块的显隐与数据展示</t>
  </si>
  <si>
    <t>1. 用户拥有 “玩家列表 - 详情” 权限；
2. 后台支持 VIP 新模式切换；
3. 新模式下玩家 A 存在 VIP 变更记录。</t>
  </si>
  <si>
    <t>1. 后台VIP为旧模式，进入玩家 A 详情页；
2. 后台切换VIP为新模式，再次进入玩家 A 详情页。</t>
  </si>
  <si>
    <t>1. 旧模式下，详情页显示 “VIP 等级变更记录” 模块隐藏；
2. 新模式下，变更记录显示且展示玩家 A 的 VIP 变更记录。</t>
  </si>
  <si>
    <t>【VIP 等级变更记录】展示玩家生涯记录（时间倒叙）</t>
  </si>
  <si>
    <t>1. 后台处于 VIP 新模式；
2. 玩家 B 存在多条 VIP 变更记录（跨日期）；
3. 进入玩家 B 详情页的对应模块。</t>
  </si>
  <si>
    <t>1. 查看模块内记录列表；
2. 核对记录时间顺序。</t>
  </si>
  <si>
    <t>1. 模块显示玩家 B 所有 VIP 变更记录（生涯统计）；
2. 记录按 “变更时间” 倒叙排列，最新记录在顶部。</t>
  </si>
  <si>
    <t>客服总台</t>
  </si>
  <si>
    <t>【VIP 等级变更记录】有权限即显示，数据同步帐服</t>
  </si>
  <si>
    <t>1. 客服总台测试用户拥有 “玩家列表” 权限；
2. 后台处于 VIP 新模式，玩家 C 存在变更记录；
3. 客服总台与帐服数据同步。</t>
  </si>
  <si>
    <t>1. 进入客服总台玩家 C 详情页；
2. 查看 “VIP 等级变更记录” 模块数据；
3. 对比帐服对应数据。</t>
  </si>
  <si>
    <t>1. 模块正常显示（不判断帐服 VIP 模式，仅校验自身权限）；
2. 数据与帐服完全一致（字段、排序均匹配）。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</si>
</sst>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2" borderId="2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1" xfId="49" applyNumberFormat="1" applyFont="1" applyFill="1" applyBorder="1" applyAlignment="1">
      <alignment horizontal="left" vertical="center"/>
    </xf>
    <xf numFmtId="0" fontId="6" fillId="4" borderId="1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0" fillId="7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9" fillId="7" borderId="9" xfId="0" applyFont="1" applyFill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1" fillId="0" borderId="8" xfId="0" applyFont="1" applyBorder="1">
      <alignment vertical="center"/>
    </xf>
    <xf numFmtId="0" fontId="10" fillId="7" borderId="6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9" fillId="7" borderId="6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2" fillId="7" borderId="9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204470</xdr:colOff>
      <xdr:row>8</xdr:row>
      <xdr:rowOff>55245</xdr:rowOff>
    </xdr:from>
    <xdr:to>
      <xdr:col>8</xdr:col>
      <xdr:colOff>1095375</xdr:colOff>
      <xdr:row>9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02545" y="1880870"/>
          <a:ext cx="890905" cy="570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1346835</xdr:colOff>
      <xdr:row>8</xdr:row>
      <xdr:rowOff>127635</xdr:rowOff>
    </xdr:from>
    <xdr:to>
      <xdr:col>8</xdr:col>
      <xdr:colOff>2514600</xdr:colOff>
      <xdr:row>9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44910" y="1953260"/>
          <a:ext cx="1167765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243205</xdr:colOff>
      <xdr:row>10</xdr:row>
      <xdr:rowOff>420370</xdr:rowOff>
    </xdr:from>
    <xdr:to>
      <xdr:col>8</xdr:col>
      <xdr:colOff>1143000</xdr:colOff>
      <xdr:row>11</xdr:row>
      <xdr:rowOff>412750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941280" y="3477895"/>
          <a:ext cx="899795" cy="43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1600200</xdr:colOff>
      <xdr:row>11</xdr:row>
      <xdr:rowOff>42545</xdr:rowOff>
    </xdr:from>
    <xdr:to>
      <xdr:col>8</xdr:col>
      <xdr:colOff>2295525</xdr:colOff>
      <xdr:row>11</xdr:row>
      <xdr:rowOff>384175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298275" y="3544570"/>
          <a:ext cx="695325" cy="341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445770</xdr:colOff>
      <xdr:row>14</xdr:row>
      <xdr:rowOff>277495</xdr:rowOff>
    </xdr:from>
    <xdr:to>
      <xdr:col>8</xdr:col>
      <xdr:colOff>1609725</xdr:colOff>
      <xdr:row>15</xdr:row>
      <xdr:rowOff>412750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143845" y="5354320"/>
          <a:ext cx="1163955" cy="57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915670</xdr:colOff>
      <xdr:row>20</xdr:row>
      <xdr:rowOff>107315</xdr:rowOff>
    </xdr:from>
    <xdr:to>
      <xdr:col>8</xdr:col>
      <xdr:colOff>1790700</xdr:colOff>
      <xdr:row>20</xdr:row>
      <xdr:rowOff>619125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613745" y="9324340"/>
          <a:ext cx="875030" cy="511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266065</xdr:colOff>
      <xdr:row>21</xdr:row>
      <xdr:rowOff>388620</xdr:rowOff>
    </xdr:from>
    <xdr:to>
      <xdr:col>8</xdr:col>
      <xdr:colOff>1186815</xdr:colOff>
      <xdr:row>22</xdr:row>
      <xdr:rowOff>365125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964140" y="10862945"/>
          <a:ext cx="920750" cy="421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1539240</xdr:colOff>
      <xdr:row>21</xdr:row>
      <xdr:rowOff>402590</xdr:rowOff>
    </xdr:from>
    <xdr:to>
      <xdr:col>8</xdr:col>
      <xdr:colOff>2357120</xdr:colOff>
      <xdr:row>22</xdr:row>
      <xdr:rowOff>390525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237315" y="10876915"/>
          <a:ext cx="817880" cy="432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865505</xdr:colOff>
      <xdr:row>24</xdr:row>
      <xdr:rowOff>311785</xdr:rowOff>
    </xdr:from>
    <xdr:to>
      <xdr:col>8</xdr:col>
      <xdr:colOff>1647825</xdr:colOff>
      <xdr:row>26</xdr:row>
      <xdr:rowOff>95250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563580" y="12399010"/>
          <a:ext cx="782320" cy="672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713740</xdr:colOff>
      <xdr:row>28</xdr:row>
      <xdr:rowOff>73025</xdr:rowOff>
    </xdr:from>
    <xdr:to>
      <xdr:col>8</xdr:col>
      <xdr:colOff>1666875</xdr:colOff>
      <xdr:row>29</xdr:row>
      <xdr:rowOff>133350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411815" y="13938250"/>
          <a:ext cx="953135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266700</xdr:colOff>
      <xdr:row>18</xdr:row>
      <xdr:rowOff>476250</xdr:rowOff>
    </xdr:from>
    <xdr:to>
      <xdr:col>8</xdr:col>
      <xdr:colOff>1092835</xdr:colOff>
      <xdr:row>18</xdr:row>
      <xdr:rowOff>1010285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964775" y="7610475"/>
          <a:ext cx="826135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1466850</xdr:colOff>
      <xdr:row>18</xdr:row>
      <xdr:rowOff>381000</xdr:rowOff>
    </xdr:from>
    <xdr:to>
      <xdr:col>8</xdr:col>
      <xdr:colOff>2234565</xdr:colOff>
      <xdr:row>18</xdr:row>
      <xdr:rowOff>1118870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164925" y="7515225"/>
          <a:ext cx="767715" cy="7378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68"/>
  <sheetViews>
    <sheetView tabSelected="1" workbookViewId="0">
      <pane ySplit="7" topLeftCell="A22" activePane="bottomLeft" state="frozen"/>
      <selection/>
      <selection pane="bottomLeft" activeCell="E31" sqref="E31:E32"/>
    </sheetView>
  </sheetViews>
  <sheetFormatPr defaultColWidth="9" defaultRowHeight="14.25"/>
  <cols>
    <col min="1" max="2" width="25.75" style="4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="1" customFormat="1" ht="16.5" customHeight="1" spans="1:64">
      <c r="A1" s="5" t="s">
        <v>0</v>
      </c>
      <c r="B1" s="6"/>
      <c r="C1" s="6"/>
      <c r="D1" s="6"/>
      <c r="E1" s="6"/>
      <c r="F1" s="6"/>
      <c r="G1" s="7" t="s">
        <v>1</v>
      </c>
      <c r="H1" s="8">
        <f>H2+H3+H4</f>
        <v>8</v>
      </c>
      <c r="I1" s="2"/>
    </row>
    <row r="2" s="1" customFormat="1" spans="1:64">
      <c r="A2" s="9" t="s">
        <v>2</v>
      </c>
      <c r="B2" s="10"/>
      <c r="C2" s="11"/>
      <c r="D2" s="11"/>
      <c r="E2" s="12" t="s">
        <v>3</v>
      </c>
      <c r="F2" s="13">
        <v>45993</v>
      </c>
      <c r="G2" s="14" t="s">
        <v>4</v>
      </c>
      <c r="H2" s="15">
        <f>COUNTIF(H8:H238,"Pass")</f>
        <v>8</v>
      </c>
      <c r="I2" s="2"/>
    </row>
    <row r="3" s="1" customFormat="1" ht="16.5" customHeight="1" spans="1:64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COUNTIF(H8:H238,"Fail")</f>
        <v>0</v>
      </c>
      <c r="I3" s="2"/>
    </row>
    <row r="4" s="1" customFormat="1" ht="16.5" customHeight="1" spans="1:64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COUNTIF(H8:H238,"N/A")</f>
        <v>0</v>
      </c>
      <c r="I4" s="2"/>
    </row>
    <row r="5" s="1" customFormat="1" ht="16.5" customHeight="1" spans="1:64">
      <c r="A5" s="16" t="s">
        <v>11</v>
      </c>
      <c r="B5" s="10"/>
      <c r="C5" s="11"/>
      <c r="D5" s="11"/>
      <c r="E5" s="17" t="s">
        <v>12</v>
      </c>
      <c r="F5" s="27"/>
      <c r="G5" s="2"/>
      <c r="H5" s="28"/>
      <c r="I5" s="2"/>
    </row>
    <row r="6" s="1" customFormat="1" spans="1:64">
      <c r="A6" s="29" t="s">
        <v>13</v>
      </c>
      <c r="B6" s="30"/>
      <c r="C6" s="31"/>
      <c r="D6" s="32"/>
      <c r="E6" s="33"/>
      <c r="F6" s="33"/>
      <c r="G6" s="34"/>
      <c r="H6" s="28"/>
      <c r="I6" s="2"/>
    </row>
    <row r="7" customHeight="1" spans="1:64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35" customHeight="1" spans="1:64">
      <c r="A8" s="36">
        <v>1</v>
      </c>
      <c r="B8" s="37" t="s">
        <v>23</v>
      </c>
      <c r="C8" s="38" t="s">
        <v>24</v>
      </c>
      <c r="D8" s="38" t="s">
        <v>25</v>
      </c>
      <c r="E8" s="39" t="s">
        <v>26</v>
      </c>
      <c r="F8" s="39" t="s">
        <v>27</v>
      </c>
      <c r="G8" s="39" t="s">
        <v>28</v>
      </c>
      <c r="H8" s="38" t="s">
        <v>29</v>
      </c>
      <c r="I8" s="40"/>
    </row>
    <row r="9" ht="35" customHeight="1" spans="1:64">
      <c r="A9" s="36"/>
      <c r="B9" s="41"/>
      <c r="C9" s="38"/>
      <c r="D9" s="38"/>
      <c r="E9" s="42"/>
      <c r="F9" s="42"/>
      <c r="G9" s="42"/>
      <c r="H9" s="38"/>
      <c r="I9" s="43"/>
    </row>
    <row r="10" ht="62" customHeight="1" spans="1:64">
      <c r="A10" s="36"/>
      <c r="B10" s="41"/>
      <c r="C10" s="38"/>
      <c r="D10" s="38"/>
      <c r="E10" s="44"/>
      <c r="F10" s="44"/>
      <c r="G10" s="44"/>
      <c r="H10" s="38"/>
      <c r="I10" s="45"/>
    </row>
    <row r="11" ht="35" customHeight="1" spans="1:64">
      <c r="A11" s="36">
        <v>2</v>
      </c>
      <c r="B11" s="41"/>
      <c r="C11" s="37" t="s">
        <v>30</v>
      </c>
      <c r="D11" s="38" t="s">
        <v>31</v>
      </c>
      <c r="E11" s="39" t="s">
        <v>32</v>
      </c>
      <c r="F11" s="39" t="s">
        <v>33</v>
      </c>
      <c r="G11" s="39" t="s">
        <v>34</v>
      </c>
      <c r="H11" s="38" t="s">
        <v>29</v>
      </c>
      <c r="I11" s="40"/>
    </row>
    <row r="12" ht="35" customHeight="1" spans="1:64">
      <c r="A12" s="36"/>
      <c r="B12" s="41"/>
      <c r="C12" s="41"/>
      <c r="D12" s="38"/>
      <c r="E12" s="42"/>
      <c r="F12" s="42"/>
      <c r="G12" s="42"/>
      <c r="H12" s="38"/>
      <c r="I12" s="43"/>
    </row>
    <row r="13" ht="54" customHeight="1" spans="1:64">
      <c r="A13" s="36"/>
      <c r="B13" s="41"/>
      <c r="C13" s="41"/>
      <c r="D13" s="38"/>
      <c r="E13" s="44"/>
      <c r="F13" s="44"/>
      <c r="G13" s="44"/>
      <c r="H13" s="38"/>
      <c r="I13" s="45"/>
    </row>
    <row r="14" ht="35" customHeight="1" spans="1:64">
      <c r="A14" s="36">
        <v>3</v>
      </c>
      <c r="B14" s="41"/>
      <c r="C14" s="41"/>
      <c r="D14" s="38" t="s">
        <v>35</v>
      </c>
      <c r="E14" s="39" t="s">
        <v>36</v>
      </c>
      <c r="F14" s="46" t="s">
        <v>37</v>
      </c>
      <c r="G14" s="39" t="s">
        <v>38</v>
      </c>
      <c r="H14" s="38" t="s">
        <v>29</v>
      </c>
      <c r="I14" s="47"/>
    </row>
    <row r="15" ht="35" customHeight="1" spans="1:64">
      <c r="A15" s="36"/>
      <c r="B15" s="41"/>
      <c r="C15" s="41"/>
      <c r="D15" s="38"/>
      <c r="E15" s="42"/>
      <c r="F15" s="46"/>
      <c r="G15" s="42"/>
      <c r="H15" s="38"/>
      <c r="I15" s="47"/>
    </row>
    <row r="16" ht="35" customHeight="1" spans="1:64">
      <c r="A16" s="36"/>
      <c r="B16" s="41"/>
      <c r="C16" s="41"/>
      <c r="D16" s="38"/>
      <c r="E16" s="42"/>
      <c r="F16" s="46"/>
      <c r="G16" s="42"/>
      <c r="H16" s="38"/>
      <c r="I16" s="47"/>
      <c r="BG16" s="48"/>
      <c r="BH16" s="48"/>
      <c r="BI16" s="48"/>
      <c r="BJ16" s="48"/>
      <c r="BK16" s="48"/>
      <c r="BL16" s="48"/>
    </row>
    <row r="17" ht="35" customHeight="1" spans="1:65">
      <c r="A17" s="49"/>
      <c r="B17" s="41"/>
      <c r="C17" s="41"/>
      <c r="D17" s="37"/>
      <c r="E17" s="42"/>
      <c r="F17" s="39"/>
      <c r="G17" s="42"/>
      <c r="H17" s="37"/>
      <c r="I17" s="47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</row>
    <row r="18" s="2" customFormat="1" ht="57" customHeight="1" spans="1:65">
      <c r="A18" s="36"/>
      <c r="B18" s="38"/>
      <c r="C18" s="41"/>
      <c r="D18" s="38"/>
      <c r="E18" s="46"/>
      <c r="F18" s="46"/>
      <c r="G18" s="46"/>
      <c r="H18" s="38"/>
      <c r="I18" s="47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1"/>
    </row>
    <row r="19" s="3" customFormat="1" ht="129" customHeight="1" spans="1:65">
      <c r="A19" s="36">
        <v>4</v>
      </c>
      <c r="B19" s="38"/>
      <c r="C19" s="52"/>
      <c r="D19" s="38" t="s">
        <v>39</v>
      </c>
      <c r="E19" s="46" t="s">
        <v>40</v>
      </c>
      <c r="F19" s="46" t="s">
        <v>41</v>
      </c>
      <c r="G19" s="46" t="s">
        <v>42</v>
      </c>
      <c r="H19" s="38" t="s">
        <v>29</v>
      </c>
      <c r="I19" s="53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5"/>
    </row>
    <row r="20" ht="35" customHeight="1" spans="1:65">
      <c r="A20" s="56">
        <v>5</v>
      </c>
      <c r="B20" s="41"/>
      <c r="C20" s="52" t="s">
        <v>43</v>
      </c>
      <c r="D20" s="52" t="s">
        <v>44</v>
      </c>
      <c r="E20" s="42" t="s">
        <v>45</v>
      </c>
      <c r="F20" s="42" t="s">
        <v>46</v>
      </c>
      <c r="G20" s="42" t="s">
        <v>47</v>
      </c>
      <c r="H20" s="52" t="s">
        <v>29</v>
      </c>
      <c r="I20" s="57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</row>
    <row r="21" ht="99" customHeight="1" spans="1:65">
      <c r="A21" s="36"/>
      <c r="B21" s="41"/>
      <c r="C21" s="38"/>
      <c r="D21" s="38"/>
      <c r="E21" s="44"/>
      <c r="F21" s="44"/>
      <c r="G21" s="44"/>
      <c r="H21" s="38"/>
      <c r="I21" s="58"/>
    </row>
    <row r="22" ht="35" customHeight="1" spans="1:65">
      <c r="A22" s="36">
        <v>6</v>
      </c>
      <c r="B22" s="41"/>
      <c r="C22" s="37" t="s">
        <v>48</v>
      </c>
      <c r="D22" s="38" t="s">
        <v>49</v>
      </c>
      <c r="E22" s="39" t="s">
        <v>50</v>
      </c>
      <c r="F22" s="39" t="s">
        <v>51</v>
      </c>
      <c r="G22" s="39" t="s">
        <v>52</v>
      </c>
      <c r="H22" s="38" t="s">
        <v>29</v>
      </c>
      <c r="I22" s="59"/>
    </row>
    <row r="23" ht="35" customHeight="1" spans="1:65">
      <c r="A23" s="36"/>
      <c r="B23" s="41"/>
      <c r="C23" s="41"/>
      <c r="D23" s="38"/>
      <c r="E23" s="42"/>
      <c r="F23" s="42"/>
      <c r="G23" s="42"/>
      <c r="H23" s="38"/>
      <c r="I23" s="57"/>
    </row>
    <row r="24" ht="57" customHeight="1" spans="1:65">
      <c r="A24" s="36"/>
      <c r="B24" s="41"/>
      <c r="C24" s="41"/>
      <c r="D24" s="38"/>
      <c r="E24" s="44"/>
      <c r="F24" s="44"/>
      <c r="G24" s="44"/>
      <c r="H24" s="38"/>
      <c r="I24" s="58"/>
    </row>
    <row r="25" ht="35" customHeight="1" spans="1:65">
      <c r="A25" s="36">
        <v>7</v>
      </c>
      <c r="B25" s="41"/>
      <c r="C25" s="41"/>
      <c r="D25" s="38" t="s">
        <v>53</v>
      </c>
      <c r="E25" s="39" t="s">
        <v>54</v>
      </c>
      <c r="F25" s="39" t="s">
        <v>55</v>
      </c>
      <c r="G25" s="39" t="s">
        <v>56</v>
      </c>
      <c r="H25" s="38" t="s">
        <v>29</v>
      </c>
      <c r="I25" s="59"/>
    </row>
    <row r="26" ht="35" customHeight="1" spans="1:65">
      <c r="A26" s="36"/>
      <c r="B26" s="41"/>
      <c r="C26" s="41"/>
      <c r="D26" s="38"/>
      <c r="E26" s="42"/>
      <c r="F26" s="42"/>
      <c r="G26" s="42"/>
      <c r="H26" s="38"/>
      <c r="I26" s="57"/>
    </row>
    <row r="27" ht="35" customHeight="1" spans="1:65">
      <c r="A27" s="36"/>
      <c r="B27" s="52"/>
      <c r="C27" s="41"/>
      <c r="D27" s="38"/>
      <c r="E27" s="44"/>
      <c r="F27" s="44"/>
      <c r="G27" s="44"/>
      <c r="H27" s="38"/>
      <c r="I27" s="58"/>
    </row>
    <row r="28" ht="35" customHeight="1" spans="1:65">
      <c r="A28" s="36">
        <v>8</v>
      </c>
      <c r="B28" s="38" t="s">
        <v>57</v>
      </c>
      <c r="C28" s="41"/>
      <c r="D28" s="38" t="s">
        <v>58</v>
      </c>
      <c r="E28" s="39" t="s">
        <v>59</v>
      </c>
      <c r="F28" s="39" t="s">
        <v>60</v>
      </c>
      <c r="G28" s="39" t="s">
        <v>61</v>
      </c>
      <c r="H28" s="38" t="s">
        <v>29</v>
      </c>
      <c r="I28" s="59"/>
    </row>
    <row r="29" ht="35" customHeight="1" spans="1:65">
      <c r="A29" s="36"/>
      <c r="B29" s="38"/>
      <c r="C29" s="41"/>
      <c r="D29" s="38"/>
      <c r="E29" s="42"/>
      <c r="F29" s="42"/>
      <c r="G29" s="42"/>
      <c r="H29" s="38"/>
      <c r="I29" s="57"/>
    </row>
    <row r="30" ht="57" customHeight="1" spans="1:65">
      <c r="A30" s="36"/>
      <c r="B30" s="38"/>
      <c r="C30" s="52"/>
      <c r="D30" s="38"/>
      <c r="E30" s="44"/>
      <c r="F30" s="44"/>
      <c r="G30" s="44"/>
      <c r="H30" s="38"/>
      <c r="I30" s="58"/>
    </row>
    <row r="31" ht="56" customHeight="1" spans="1:65">
      <c r="A31" s="36"/>
      <c r="B31" s="38"/>
      <c r="C31" s="38"/>
      <c r="D31" s="38"/>
      <c r="E31" s="39"/>
      <c r="F31" s="39"/>
      <c r="G31" s="46"/>
      <c r="H31" s="60"/>
      <c r="I31" s="59"/>
    </row>
    <row r="32" ht="67" customHeight="1" spans="1:65">
      <c r="A32" s="36"/>
      <c r="B32" s="38"/>
      <c r="C32" s="38"/>
      <c r="D32" s="38"/>
      <c r="E32" s="44"/>
      <c r="F32" s="44"/>
      <c r="G32" s="46"/>
      <c r="H32" s="61"/>
      <c r="I32" s="58"/>
    </row>
    <row r="33" ht="35" customHeight="1" spans="1:9">
      <c r="A33" s="62"/>
      <c r="B33" s="62"/>
      <c r="C33" s="58"/>
      <c r="D33" s="58"/>
      <c r="E33" s="58"/>
      <c r="F33" s="58"/>
      <c r="G33" s="58"/>
      <c r="H33" s="63"/>
      <c r="I33" s="53"/>
    </row>
    <row r="34" ht="35" customHeight="1" spans="1:9">
      <c r="A34" s="64"/>
      <c r="B34" s="62"/>
      <c r="C34" s="58"/>
      <c r="D34" s="58"/>
      <c r="E34" s="58"/>
      <c r="F34" s="58"/>
      <c r="G34" s="58"/>
      <c r="H34" s="65"/>
      <c r="I34" s="53"/>
    </row>
    <row r="35" ht="35" customHeight="1" spans="1:9">
      <c r="A35" s="64"/>
      <c r="B35" s="62"/>
      <c r="C35" s="58"/>
      <c r="D35" s="58"/>
      <c r="E35" s="58"/>
      <c r="F35" s="58"/>
      <c r="G35" s="58"/>
      <c r="H35" s="65"/>
      <c r="I35" s="53"/>
    </row>
    <row r="36" ht="35" customHeight="1" spans="1:9">
      <c r="A36" s="64"/>
      <c r="B36" s="62"/>
      <c r="C36" s="58"/>
      <c r="D36" s="58"/>
      <c r="E36" s="58"/>
      <c r="F36" s="58"/>
      <c r="G36" s="58"/>
      <c r="H36" s="65"/>
      <c r="I36" s="53"/>
    </row>
    <row r="37" ht="35" customHeight="1" spans="1:9">
      <c r="A37" s="64"/>
      <c r="B37" s="62"/>
      <c r="C37" s="58"/>
      <c r="D37" s="58"/>
      <c r="E37" s="58"/>
      <c r="F37" s="58"/>
      <c r="G37" s="58"/>
      <c r="H37" s="65"/>
      <c r="I37" s="53"/>
    </row>
    <row r="38" ht="35" customHeight="1" spans="1:9">
      <c r="A38" s="64"/>
      <c r="B38" s="62"/>
      <c r="C38" s="58"/>
      <c r="D38" s="58"/>
      <c r="E38" s="58"/>
      <c r="F38" s="58"/>
      <c r="G38" s="58"/>
      <c r="H38" s="65"/>
      <c r="I38" s="53"/>
    </row>
    <row r="39" ht="35" customHeight="1" spans="1:9">
      <c r="A39" s="64"/>
      <c r="B39" s="62"/>
      <c r="C39" s="58"/>
      <c r="D39" s="58"/>
      <c r="E39" s="58"/>
      <c r="F39" s="58"/>
      <c r="G39" s="58"/>
      <c r="H39" s="65"/>
      <c r="I39" s="53"/>
    </row>
    <row r="40" ht="35" customHeight="1" spans="1:9">
      <c r="A40" s="64"/>
      <c r="B40" s="62"/>
      <c r="C40" s="58"/>
      <c r="D40" s="58"/>
      <c r="E40" s="58"/>
      <c r="F40" s="58"/>
      <c r="G40" s="58"/>
      <c r="H40" s="65"/>
      <c r="I40" s="53"/>
    </row>
    <row r="41" ht="35" customHeight="1" spans="1:9">
      <c r="A41" s="64"/>
      <c r="B41" s="62"/>
      <c r="C41" s="58"/>
      <c r="D41" s="58"/>
      <c r="E41" s="58"/>
      <c r="F41" s="58"/>
      <c r="G41" s="58"/>
      <c r="H41" s="65"/>
      <c r="I41" s="53"/>
    </row>
    <row r="42" ht="35" customHeight="1" spans="1:9">
      <c r="A42" s="64"/>
      <c r="B42" s="62"/>
      <c r="C42" s="58"/>
      <c r="D42" s="58"/>
      <c r="E42" s="58"/>
      <c r="F42" s="58"/>
      <c r="G42" s="58"/>
      <c r="H42" s="65"/>
      <c r="I42" s="53"/>
    </row>
    <row r="43" ht="35" customHeight="1" spans="1:9">
      <c r="A43" s="64"/>
      <c r="B43" s="62"/>
      <c r="C43" s="58"/>
      <c r="D43" s="58"/>
      <c r="E43" s="58"/>
      <c r="F43" s="58"/>
      <c r="G43" s="58"/>
      <c r="H43" s="65"/>
      <c r="I43" s="53"/>
    </row>
    <row r="44" ht="35" customHeight="1" spans="1:9">
      <c r="A44" s="64"/>
      <c r="B44" s="62"/>
      <c r="C44" s="58"/>
      <c r="D44" s="58"/>
      <c r="E44" s="58"/>
      <c r="F44" s="58"/>
      <c r="G44" s="58"/>
      <c r="H44" s="65"/>
      <c r="I44" s="53"/>
    </row>
    <row r="45" ht="35" customHeight="1" spans="1:9">
      <c r="A45" s="64"/>
      <c r="B45" s="62"/>
      <c r="C45" s="58"/>
      <c r="D45" s="58"/>
      <c r="E45" s="58"/>
      <c r="F45" s="58"/>
      <c r="G45" s="58"/>
      <c r="H45" s="65"/>
      <c r="I45" s="53"/>
    </row>
    <row r="46" ht="35" customHeight="1" spans="1:9">
      <c r="A46" s="64"/>
      <c r="B46" s="62"/>
      <c r="C46" s="58"/>
      <c r="D46" s="58"/>
      <c r="E46" s="58"/>
      <c r="F46" s="58"/>
      <c r="G46" s="58"/>
      <c r="H46" s="65"/>
      <c r="I46" s="53"/>
    </row>
    <row r="47" ht="35" customHeight="1" spans="1:9">
      <c r="A47" s="64"/>
      <c r="B47" s="62"/>
      <c r="C47" s="58"/>
      <c r="D47" s="58"/>
      <c r="E47" s="58"/>
      <c r="F47" s="58"/>
      <c r="G47" s="58"/>
      <c r="H47" s="65"/>
      <c r="I47" s="53"/>
    </row>
    <row r="48" ht="35" customHeight="1" spans="1:9">
      <c r="A48" s="64"/>
      <c r="B48" s="62"/>
      <c r="C48" s="58"/>
      <c r="D48" s="58"/>
      <c r="E48" s="58"/>
      <c r="F48" s="58"/>
      <c r="G48" s="58"/>
      <c r="H48" s="65"/>
      <c r="I48" s="53"/>
    </row>
    <row r="49" ht="35" customHeight="1" spans="1:9">
      <c r="A49" s="64"/>
      <c r="B49" s="62"/>
      <c r="C49" s="58"/>
      <c r="D49" s="58"/>
      <c r="E49" s="58"/>
      <c r="F49" s="58"/>
      <c r="G49" s="58"/>
      <c r="H49" s="65"/>
      <c r="I49" s="53"/>
    </row>
    <row r="50" ht="35" customHeight="1" spans="1:9">
      <c r="A50" s="64"/>
      <c r="B50" s="62"/>
      <c r="C50" s="58"/>
      <c r="D50" s="58"/>
      <c r="E50" s="58"/>
      <c r="F50" s="58"/>
      <c r="G50" s="58"/>
      <c r="H50" s="65"/>
      <c r="I50" s="53"/>
    </row>
    <row r="51" ht="35" customHeight="1" spans="1:9">
      <c r="A51" s="64"/>
      <c r="B51" s="62"/>
      <c r="C51" s="58"/>
      <c r="D51" s="58"/>
      <c r="E51" s="58"/>
      <c r="F51" s="58"/>
      <c r="G51" s="58"/>
      <c r="H51" s="65"/>
      <c r="I51" s="53"/>
    </row>
    <row r="52" ht="35" customHeight="1" spans="1:9">
      <c r="A52" s="64"/>
      <c r="B52" s="62"/>
      <c r="C52" s="58"/>
      <c r="D52" s="58"/>
      <c r="E52" s="58"/>
      <c r="F52" s="58"/>
      <c r="G52" s="58"/>
      <c r="H52" s="65"/>
      <c r="I52" s="53"/>
    </row>
    <row r="53" ht="35" customHeight="1" spans="1:9">
      <c r="A53" s="64"/>
      <c r="B53" s="62"/>
      <c r="C53" s="58"/>
      <c r="D53" s="58"/>
      <c r="E53" s="58"/>
      <c r="F53" s="58"/>
      <c r="G53" s="58"/>
      <c r="H53" s="65"/>
      <c r="I53" s="53"/>
    </row>
    <row r="54" spans="1:9">
      <c r="A54" s="64"/>
      <c r="B54" s="62"/>
      <c r="C54" s="58"/>
      <c r="D54" s="58"/>
      <c r="E54" s="58"/>
      <c r="F54" s="58"/>
      <c r="G54" s="58"/>
      <c r="H54" s="65"/>
      <c r="I54" s="53"/>
    </row>
    <row r="55" spans="1:9">
      <c r="A55" s="64"/>
      <c r="B55" s="62"/>
      <c r="C55" s="58"/>
      <c r="D55" s="58"/>
      <c r="E55" s="58"/>
      <c r="F55" s="58"/>
      <c r="G55" s="58"/>
      <c r="H55" s="65"/>
      <c r="I55" s="53"/>
    </row>
    <row r="56" spans="1:9">
      <c r="A56" s="64"/>
      <c r="B56" s="62"/>
      <c r="C56" s="58"/>
      <c r="D56" s="58"/>
      <c r="E56" s="58"/>
      <c r="F56" s="58"/>
      <c r="G56" s="58"/>
      <c r="H56" s="65"/>
      <c r="I56" s="53"/>
    </row>
    <row r="57" spans="1:9">
      <c r="A57" s="64"/>
      <c r="B57" s="62"/>
      <c r="C57" s="58"/>
      <c r="D57" s="58"/>
      <c r="E57" s="58"/>
      <c r="F57" s="58"/>
      <c r="G57" s="58"/>
      <c r="H57" s="65"/>
      <c r="I57" s="53"/>
    </row>
    <row r="58" spans="1:9">
      <c r="A58" s="64"/>
      <c r="B58" s="62"/>
      <c r="C58" s="58"/>
      <c r="D58" s="58"/>
      <c r="E58" s="58"/>
      <c r="F58" s="58"/>
      <c r="G58" s="58"/>
      <c r="H58" s="65"/>
      <c r="I58" s="53"/>
    </row>
    <row r="59" spans="1:9">
      <c r="A59" s="64"/>
      <c r="B59" s="62"/>
      <c r="C59" s="58"/>
      <c r="D59" s="58"/>
      <c r="E59" s="58"/>
      <c r="F59" s="58"/>
      <c r="G59" s="58"/>
      <c r="H59" s="65"/>
      <c r="I59" s="53"/>
    </row>
    <row r="60" spans="1:9">
      <c r="A60" s="64"/>
      <c r="B60" s="62"/>
      <c r="C60" s="58"/>
      <c r="D60" s="58"/>
      <c r="E60" s="58"/>
      <c r="F60" s="58"/>
      <c r="G60" s="58"/>
      <c r="H60" s="65"/>
      <c r="I60" s="53"/>
    </row>
    <row r="61" spans="1:9">
      <c r="A61" s="64"/>
      <c r="B61" s="62"/>
      <c r="C61" s="58"/>
      <c r="D61" s="58"/>
      <c r="E61" s="58"/>
      <c r="F61" s="58"/>
      <c r="G61" s="58"/>
      <c r="H61" s="65"/>
      <c r="I61" s="53"/>
    </row>
    <row r="62" spans="1:9">
      <c r="A62" s="64"/>
      <c r="B62" s="62"/>
      <c r="C62" s="58"/>
      <c r="D62" s="58"/>
      <c r="E62" s="58"/>
      <c r="F62" s="58"/>
      <c r="G62" s="58"/>
      <c r="H62" s="65"/>
      <c r="I62" s="53"/>
    </row>
    <row r="63" spans="1:9">
      <c r="A63" s="64"/>
      <c r="B63" s="62"/>
      <c r="C63" s="58"/>
      <c r="D63" s="58"/>
      <c r="E63" s="58"/>
      <c r="F63" s="58"/>
      <c r="G63" s="58"/>
      <c r="H63" s="65"/>
      <c r="I63" s="53"/>
    </row>
    <row r="64" spans="1:9">
      <c r="A64" s="64"/>
      <c r="B64" s="62"/>
      <c r="C64" s="58"/>
      <c r="D64" s="58"/>
      <c r="E64" s="58"/>
      <c r="F64" s="58"/>
      <c r="G64" s="58"/>
      <c r="H64" s="65"/>
      <c r="I64" s="53"/>
    </row>
    <row r="65" spans="1:9">
      <c r="A65" s="64"/>
      <c r="B65" s="62"/>
      <c r="C65" s="58"/>
      <c r="D65" s="58"/>
      <c r="E65" s="58"/>
      <c r="F65" s="58"/>
      <c r="G65" s="58"/>
      <c r="H65" s="65"/>
      <c r="I65" s="53"/>
    </row>
    <row r="66" spans="1:9">
      <c r="A66" s="64"/>
      <c r="B66" s="62"/>
      <c r="C66" s="58"/>
      <c r="D66" s="58"/>
      <c r="E66" s="58"/>
      <c r="F66" s="58"/>
      <c r="G66" s="58"/>
      <c r="H66" s="65"/>
      <c r="I66" s="53"/>
    </row>
    <row r="67" spans="1:9">
      <c r="A67" s="64"/>
      <c r="B67" s="62"/>
      <c r="C67" s="58"/>
      <c r="D67" s="58"/>
      <c r="E67" s="58"/>
      <c r="F67" s="58"/>
      <c r="G67" s="58"/>
      <c r="H67" s="65"/>
      <c r="I67" s="53"/>
    </row>
    <row r="68" spans="1:9">
      <c r="A68" s="64"/>
      <c r="B68" s="62"/>
      <c r="C68" s="58"/>
      <c r="D68" s="58"/>
      <c r="E68" s="58"/>
      <c r="F68" s="58"/>
      <c r="G68" s="58"/>
      <c r="H68" s="65"/>
      <c r="I68" s="53"/>
    </row>
  </sheetData>
  <mergeCells count="70">
    <mergeCell ref="A1:F1"/>
    <mergeCell ref="C2:D2"/>
    <mergeCell ref="C3:D3"/>
    <mergeCell ref="C4:D4"/>
    <mergeCell ref="C5:D5"/>
    <mergeCell ref="C6:F6"/>
    <mergeCell ref="A8:A10"/>
    <mergeCell ref="A11:A13"/>
    <mergeCell ref="A14:A18"/>
    <mergeCell ref="A20:A21"/>
    <mergeCell ref="A22:A24"/>
    <mergeCell ref="A25:A27"/>
    <mergeCell ref="A28:A30"/>
    <mergeCell ref="A31:A32"/>
    <mergeCell ref="B8:B27"/>
    <mergeCell ref="B28:B30"/>
    <mergeCell ref="B31:B32"/>
    <mergeCell ref="C8:C10"/>
    <mergeCell ref="C11:C19"/>
    <mergeCell ref="C20:C21"/>
    <mergeCell ref="C22:C30"/>
    <mergeCell ref="C31:C32"/>
    <mergeCell ref="D8:D10"/>
    <mergeCell ref="D11:D13"/>
    <mergeCell ref="D14:D18"/>
    <mergeCell ref="D20:D21"/>
    <mergeCell ref="D22:D24"/>
    <mergeCell ref="D25:D27"/>
    <mergeCell ref="D28:D30"/>
    <mergeCell ref="D31:D32"/>
    <mergeCell ref="E8:E10"/>
    <mergeCell ref="E11:E13"/>
    <mergeCell ref="E14:E18"/>
    <mergeCell ref="E20:E21"/>
    <mergeCell ref="E22:E24"/>
    <mergeCell ref="E25:E27"/>
    <mergeCell ref="E28:E30"/>
    <mergeCell ref="E31:E32"/>
    <mergeCell ref="F8:F10"/>
    <mergeCell ref="F11:F13"/>
    <mergeCell ref="F14:F18"/>
    <mergeCell ref="F20:F21"/>
    <mergeCell ref="F22:F24"/>
    <mergeCell ref="F25:F27"/>
    <mergeCell ref="F28:F30"/>
    <mergeCell ref="F31:F32"/>
    <mergeCell ref="G8:G10"/>
    <mergeCell ref="G11:G13"/>
    <mergeCell ref="G14:G18"/>
    <mergeCell ref="G20:G21"/>
    <mergeCell ref="G22:G24"/>
    <mergeCell ref="G25:G27"/>
    <mergeCell ref="G28:G30"/>
    <mergeCell ref="G31:G32"/>
    <mergeCell ref="H8:H10"/>
    <mergeCell ref="H11:H13"/>
    <mergeCell ref="H14:H18"/>
    <mergeCell ref="H20:H21"/>
    <mergeCell ref="H22:H24"/>
    <mergeCell ref="H25:H27"/>
    <mergeCell ref="H28:H30"/>
    <mergeCell ref="H31:H32"/>
    <mergeCell ref="I8:I10"/>
    <mergeCell ref="I11:I13"/>
    <mergeCell ref="I14:I18"/>
    <mergeCell ref="I20:I21"/>
    <mergeCell ref="I22:I24"/>
    <mergeCell ref="I25:I27"/>
    <mergeCell ref="I28:I30"/>
    <mergeCell ref="I31:I32"/>
  </mergeCells>
  <conditionalFormatting sqref="H8">
    <cfRule type="cellIs" dxfId="0" priority="160" stopIfTrue="1" operator="equal">
      <formula>"N/A"</formula>
    </cfRule>
    <cfRule type="cellIs" dxfId="1" priority="161" stopIfTrue="1" operator="equal">
      <formula>"Fail"</formula>
    </cfRule>
    <cfRule type="cellIs" dxfId="2" priority="162" stopIfTrue="1" operator="equal">
      <formula>"Pass"</formula>
    </cfRule>
  </conditionalFormatting>
  <conditionalFormatting sqref="H20">
    <cfRule type="cellIs" dxfId="0" priority="118" stopIfTrue="1" operator="equal">
      <formula>"N/A"</formula>
    </cfRule>
    <cfRule type="cellIs" dxfId="1" priority="138" stopIfTrue="1" operator="equal">
      <formula>"Fail"</formula>
    </cfRule>
    <cfRule type="cellIs" dxfId="2" priority="158" stopIfTrue="1" operator="equal">
      <formula>"Pass"</formula>
    </cfRule>
  </conditionalFormatting>
  <conditionalFormatting sqref="H21">
    <cfRule type="cellIs" dxfId="0" priority="117" stopIfTrue="1" operator="equal">
      <formula>"N/A"</formula>
    </cfRule>
    <cfRule type="cellIs" dxfId="1" priority="137" stopIfTrue="1" operator="equal">
      <formula>"Fail"</formula>
    </cfRule>
    <cfRule type="cellIs" dxfId="2" priority="157" stopIfTrue="1" operator="equal">
      <formula>"Pass"</formula>
    </cfRule>
  </conditionalFormatting>
  <conditionalFormatting sqref="H22">
    <cfRule type="cellIs" dxfId="0" priority="116" stopIfTrue="1" operator="equal">
      <formula>"N/A"</formula>
    </cfRule>
    <cfRule type="cellIs" dxfId="1" priority="136" stopIfTrue="1" operator="equal">
      <formula>"Fail"</formula>
    </cfRule>
    <cfRule type="cellIs" dxfId="2" priority="156" stopIfTrue="1" operator="equal">
      <formula>"Pass"</formula>
    </cfRule>
  </conditionalFormatting>
  <conditionalFormatting sqref="H23">
    <cfRule type="cellIs" dxfId="0" priority="115" stopIfTrue="1" operator="equal">
      <formula>"N/A"</formula>
    </cfRule>
    <cfRule type="cellIs" dxfId="1" priority="135" stopIfTrue="1" operator="equal">
      <formula>"Fail"</formula>
    </cfRule>
    <cfRule type="cellIs" dxfId="2" priority="155" stopIfTrue="1" operator="equal">
      <formula>"Pass"</formula>
    </cfRule>
  </conditionalFormatting>
  <conditionalFormatting sqref="H24">
    <cfRule type="cellIs" dxfId="0" priority="114" stopIfTrue="1" operator="equal">
      <formula>"N/A"</formula>
    </cfRule>
    <cfRule type="cellIs" dxfId="1" priority="134" stopIfTrue="1" operator="equal">
      <formula>"Fail"</formula>
    </cfRule>
    <cfRule type="cellIs" dxfId="2" priority="154" stopIfTrue="1" operator="equal">
      <formula>"Pass"</formula>
    </cfRule>
  </conditionalFormatting>
  <conditionalFormatting sqref="H25">
    <cfRule type="cellIs" dxfId="0" priority="113" stopIfTrue="1" operator="equal">
      <formula>"N/A"</formula>
    </cfRule>
    <cfRule type="cellIs" dxfId="1" priority="133" stopIfTrue="1" operator="equal">
      <formula>"Fail"</formula>
    </cfRule>
    <cfRule type="cellIs" dxfId="2" priority="153" stopIfTrue="1" operator="equal">
      <formula>"Pass"</formula>
    </cfRule>
  </conditionalFormatting>
  <conditionalFormatting sqref="H26">
    <cfRule type="cellIs" dxfId="0" priority="112" stopIfTrue="1" operator="equal">
      <formula>"N/A"</formula>
    </cfRule>
    <cfRule type="cellIs" dxfId="1" priority="132" stopIfTrue="1" operator="equal">
      <formula>"Fail"</formula>
    </cfRule>
    <cfRule type="cellIs" dxfId="2" priority="152" stopIfTrue="1" operator="equal">
      <formula>"Pass"</formula>
    </cfRule>
  </conditionalFormatting>
  <conditionalFormatting sqref="H27">
    <cfRule type="cellIs" dxfId="0" priority="111" stopIfTrue="1" operator="equal">
      <formula>"N/A"</formula>
    </cfRule>
    <cfRule type="cellIs" dxfId="1" priority="131" stopIfTrue="1" operator="equal">
      <formula>"Fail"</formula>
    </cfRule>
    <cfRule type="cellIs" dxfId="2" priority="151" stopIfTrue="1" operator="equal">
      <formula>"Pass"</formula>
    </cfRule>
  </conditionalFormatting>
  <conditionalFormatting sqref="H28">
    <cfRule type="cellIs" dxfId="0" priority="110" stopIfTrue="1" operator="equal">
      <formula>"N/A"</formula>
    </cfRule>
    <cfRule type="cellIs" dxfId="1" priority="130" stopIfTrue="1" operator="equal">
      <formula>"Fail"</formula>
    </cfRule>
    <cfRule type="cellIs" dxfId="2" priority="150" stopIfTrue="1" operator="equal">
      <formula>"Pass"</formula>
    </cfRule>
  </conditionalFormatting>
  <conditionalFormatting sqref="H29">
    <cfRule type="cellIs" dxfId="0" priority="109" stopIfTrue="1" operator="equal">
      <formula>"N/A"</formula>
    </cfRule>
    <cfRule type="cellIs" dxfId="1" priority="129" stopIfTrue="1" operator="equal">
      <formula>"Fail"</formula>
    </cfRule>
    <cfRule type="cellIs" dxfId="2" priority="149" stopIfTrue="1" operator="equal">
      <formula>"Pass"</formula>
    </cfRule>
  </conditionalFormatting>
  <conditionalFormatting sqref="H30">
    <cfRule type="cellIs" dxfId="0" priority="108" stopIfTrue="1" operator="equal">
      <formula>"N/A"</formula>
    </cfRule>
    <cfRule type="cellIs" dxfId="1" priority="128" stopIfTrue="1" operator="equal">
      <formula>"Fail"</formula>
    </cfRule>
    <cfRule type="cellIs" dxfId="2" priority="148" stopIfTrue="1" operator="equal">
      <formula>"Pass"</formula>
    </cfRule>
  </conditionalFormatting>
  <conditionalFormatting sqref="H31">
    <cfRule type="cellIs" dxfId="0" priority="104" stopIfTrue="1" operator="equal">
      <formula>"N/A"</formula>
    </cfRule>
    <cfRule type="cellIs" dxfId="1" priority="124" stopIfTrue="1" operator="equal">
      <formula>"Fail"</formula>
    </cfRule>
    <cfRule type="cellIs" dxfId="2" priority="144" stopIfTrue="1" operator="equal">
      <formula>"Pass"</formula>
    </cfRule>
  </conditionalFormatting>
  <conditionalFormatting sqref="H33">
    <cfRule type="cellIs" dxfId="0" priority="102" stopIfTrue="1" operator="equal">
      <formula>"N/A"</formula>
    </cfRule>
    <cfRule type="cellIs" dxfId="1" priority="122" stopIfTrue="1" operator="equal">
      <formula>"Fail"</formula>
    </cfRule>
    <cfRule type="cellIs" dxfId="2" priority="142" stopIfTrue="1" operator="equal">
      <formula>"Pass"</formula>
    </cfRule>
  </conditionalFormatting>
  <conditionalFormatting sqref="H34">
    <cfRule type="cellIs" dxfId="0" priority="101" stopIfTrue="1" operator="equal">
      <formula>"N/A"</formula>
    </cfRule>
    <cfRule type="cellIs" dxfId="1" priority="121" stopIfTrue="1" operator="equal">
      <formula>"Fail"</formula>
    </cfRule>
    <cfRule type="cellIs" dxfId="2" priority="141" stopIfTrue="1" operator="equal">
      <formula>"Pass"</formula>
    </cfRule>
  </conditionalFormatting>
  <conditionalFormatting sqref="H35">
    <cfRule type="cellIs" dxfId="0" priority="100" stopIfTrue="1" operator="equal">
      <formula>"N/A"</formula>
    </cfRule>
    <cfRule type="cellIs" dxfId="1" priority="120" stopIfTrue="1" operator="equal">
      <formula>"Fail"</formula>
    </cfRule>
    <cfRule type="cellIs" dxfId="2" priority="140" stopIfTrue="1" operator="equal">
      <formula>"Pass"</formula>
    </cfRule>
  </conditionalFormatting>
  <conditionalFormatting sqref="H36">
    <cfRule type="cellIs" dxfId="0" priority="33" stopIfTrue="1" operator="equal">
      <formula>"N/A"</formula>
    </cfRule>
    <cfRule type="cellIs" dxfId="1" priority="66" stopIfTrue="1" operator="equal">
      <formula>"Fail"</formula>
    </cfRule>
    <cfRule type="cellIs" dxfId="2" priority="99" stopIfTrue="1" operator="equal">
      <formula>"Pass"</formula>
    </cfRule>
  </conditionalFormatting>
  <conditionalFormatting sqref="H37">
    <cfRule type="cellIs" dxfId="0" priority="32" stopIfTrue="1" operator="equal">
      <formula>"N/A"</formula>
    </cfRule>
    <cfRule type="cellIs" dxfId="1" priority="65" stopIfTrue="1" operator="equal">
      <formula>"Fail"</formula>
    </cfRule>
    <cfRule type="cellIs" dxfId="2" priority="98" stopIfTrue="1" operator="equal">
      <formula>"Pass"</formula>
    </cfRule>
  </conditionalFormatting>
  <conditionalFormatting sqref="H38">
    <cfRule type="cellIs" dxfId="0" priority="31" stopIfTrue="1" operator="equal">
      <formula>"N/A"</formula>
    </cfRule>
    <cfRule type="cellIs" dxfId="1" priority="64" stopIfTrue="1" operator="equal">
      <formula>"Fail"</formula>
    </cfRule>
    <cfRule type="cellIs" dxfId="2" priority="97" stopIfTrue="1" operator="equal">
      <formula>"Pass"</formula>
    </cfRule>
  </conditionalFormatting>
  <conditionalFormatting sqref="H39">
    <cfRule type="cellIs" dxfId="0" priority="30" stopIfTrue="1" operator="equal">
      <formula>"N/A"</formula>
    </cfRule>
    <cfRule type="cellIs" dxfId="1" priority="63" stopIfTrue="1" operator="equal">
      <formula>"Fail"</formula>
    </cfRule>
    <cfRule type="cellIs" dxfId="2" priority="96" stopIfTrue="1" operator="equal">
      <formula>"Pass"</formula>
    </cfRule>
  </conditionalFormatting>
  <conditionalFormatting sqref="H40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41">
    <cfRule type="cellIs" dxfId="0" priority="28" stopIfTrue="1" operator="equal">
      <formula>"N/A"</formula>
    </cfRule>
    <cfRule type="cellIs" dxfId="1" priority="61" stopIfTrue="1" operator="equal">
      <formula>"Fail"</formula>
    </cfRule>
    <cfRule type="cellIs" dxfId="2" priority="94" stopIfTrue="1" operator="equal">
      <formula>"Pass"</formula>
    </cfRule>
  </conditionalFormatting>
  <conditionalFormatting sqref="H42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43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44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45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46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47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48">
    <cfRule type="cellIs" dxfId="0" priority="21" stopIfTrue="1" operator="equal">
      <formula>"N/A"</formula>
    </cfRule>
    <cfRule type="cellIs" dxfId="1" priority="54" stopIfTrue="1" operator="equal">
      <formula>"Fail"</formula>
    </cfRule>
    <cfRule type="cellIs" dxfId="2" priority="87" stopIfTrue="1" operator="equal">
      <formula>"Pass"</formula>
    </cfRule>
  </conditionalFormatting>
  <conditionalFormatting sqref="H49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50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51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52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53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54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55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56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57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58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59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60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61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62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63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64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65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66">
    <cfRule type="cellIs" dxfId="0" priority="3" stopIfTrue="1" operator="equal">
      <formula>"N/A"</formula>
    </cfRule>
    <cfRule type="cellIs" dxfId="1" priority="36" stopIfTrue="1" operator="equal">
      <formula>"Fail"</formula>
    </cfRule>
    <cfRule type="cellIs" dxfId="2" priority="69" stopIfTrue="1" operator="equal">
      <formula>"Pass"</formula>
    </cfRule>
  </conditionalFormatting>
  <conditionalFormatting sqref="H67">
    <cfRule type="cellIs" dxfId="0" priority="2" stopIfTrue="1" operator="equal">
      <formula>"N/A"</formula>
    </cfRule>
    <cfRule type="cellIs" dxfId="1" priority="35" stopIfTrue="1" operator="equal">
      <formula>"Fail"</formula>
    </cfRule>
    <cfRule type="cellIs" dxfId="2" priority="68" stopIfTrue="1" operator="equal">
      <formula>"Pass"</formula>
    </cfRule>
  </conditionalFormatting>
  <conditionalFormatting sqref="H68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conditionalFormatting sqref="H9:H11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2:H14">
    <cfRule type="cellIs" dxfId="0" priority="187" stopIfTrue="1" operator="equal">
      <formula>"N/A"</formula>
    </cfRule>
    <cfRule type="cellIs" dxfId="1" priority="188" stopIfTrue="1" operator="equal">
      <formula>"Fail"</formula>
    </cfRule>
    <cfRule type="cellIs" dxfId="2" priority="189" stopIfTrue="1" operator="equal">
      <formula>"Pass"</formula>
    </cfRule>
  </conditionalFormatting>
  <conditionalFormatting sqref="H15:H17">
    <cfRule type="cellIs" dxfId="0" priority="172" stopIfTrue="1" operator="equal">
      <formula>"N/A"</formula>
    </cfRule>
    <cfRule type="cellIs" dxfId="1" priority="173" stopIfTrue="1" operator="equal">
      <formula>"Fail"</formula>
    </cfRule>
    <cfRule type="cellIs" dxfId="2" priority="174" stopIfTrue="1" operator="equal">
      <formula>"Pass"</formula>
    </cfRule>
  </conditionalFormatting>
  <conditionalFormatting sqref="H18:H19">
    <cfRule type="cellIs" dxfId="0" priority="119" stopIfTrue="1" operator="equal">
      <formula>"N/A"</formula>
    </cfRule>
    <cfRule type="cellIs" dxfId="1" priority="139" stopIfTrue="1" operator="equal">
      <formula>"Fail"</formula>
    </cfRule>
    <cfRule type="cellIs" dxfId="2" priority="159" stopIfTrue="1" operator="equal">
      <formula>"Pass"</formula>
    </cfRule>
  </conditionalFormatting>
  <dataValidations count="1">
    <dataValidation type="list" allowBlank="1" showInputMessage="1" showErrorMessage="1" sqref="H33:H68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新增VIP等级变更记录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2025-12-02T06:14:41Z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2052-12.1.0.23542</vt:lpwstr>
  </property>
</Properties>
</file>