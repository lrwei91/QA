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VIP等级编辑模块操作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<sst xmlns="http://schemas.openxmlformats.org/spreadsheetml/2006/main" count="105" uniqueCount="82">
  <si>
    <t xml:space="preserve"> VIP等级编辑模块操作优化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</si>
  <si>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</si>
  <si>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</si>
  <si>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</si>
  <si>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</si>
  <si>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</si>
  <si>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</si>
  <si>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</si>
  <si>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</si>
  <si>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</si>
  <si>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</si>
  <si>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</si>
  <si>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</si>
  <si>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</si>
  <si>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</si>
  <si>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</si>
  <si>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</si>
  <si>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</si>
  <si>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</si>
  <si>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</si>
  <si>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</si>
  <si>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</si>
  <si>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</si>
  <si>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</t>
  </si>
  <si>
    <t>VIP等级</t>
  </si>
  <si>
    <t>编辑按钮显示</t>
  </si>
  <si>
    <t>1. 管理员已登录
2. 拥有【VIP等级编辑】权限</t>
  </si>
  <si>
    <t>进入账服-VIP等级页面</t>
  </si>
  <si>
    <t>页面显示【编辑】按钮</t>
  </si>
  <si>
    <t>pass</t>
  </si>
  <si>
    <t>编辑按钮权限控制</t>
  </si>
  <si>
    <t>1. 管理员已登录
2. 管理员权限组未勾选【VIP等级编辑】权限</t>
  </si>
  <si>
    <t>不显示【编辑】按钮，表单内容向上顶</t>
  </si>
  <si>
    <t>进入编辑模式</t>
  </si>
  <si>
    <t>点击【编辑】按钮</t>
  </si>
  <si>
    <t>1. 列表进入编辑模式
2. 操作列中的编辑和删除按钮隐藏
3. 所有可编辑字段变为输入框</t>
  </si>
  <si>
    <t>序号字段不可编辑</t>
  </si>
  <si>
    <t>1. 管理员已登录
2. 进入编辑模式</t>
  </si>
  <si>
    <t>尝试点击序号字段</t>
  </si>
  <si>
    <t>序号字段不可编辑，保持只读状态</t>
  </si>
  <si>
    <t>字段编辑-打码量</t>
  </si>
  <si>
    <t>1. 修改VIP2的打码量
2. 输入310</t>
  </si>
  <si>
    <t>打码量字段显示修改后的值</t>
  </si>
  <si>
    <t>字段编辑-充值</t>
  </si>
  <si>
    <t>1. 修改VIP2的充值
2. 输入100.00</t>
  </si>
  <si>
    <t>充值字段显示修改后的值</t>
  </si>
  <si>
    <t>字段编辑-保级类型</t>
  </si>
  <si>
    <t>1. 修改VIP1的保级类型
2. 选择"打码"</t>
  </si>
  <si>
    <t>保级类型字段显示为"打码"</t>
  </si>
  <si>
    <t>字段编辑-比例字段</t>
  </si>
  <si>
    <t>1. 修改VIP1的内部比例
2. 输入2.5%</t>
  </si>
  <si>
    <t>内部比例字段显示为2.5%</t>
  </si>
  <si>
    <t>字段编辑-免费旋转次数</t>
  </si>
  <si>
    <t>1. 管理员已登录
2. 进入编辑模式
3. 有免费旋转次数字段</t>
  </si>
  <si>
    <t>1. 修改VIP1的免费旋转次数
2. 输入100</t>
  </si>
  <si>
    <t>免费旋转次数字段显示为100</t>
  </si>
  <si>
    <t>免费旋转次数整数限制</t>
  </si>
  <si>
    <t>1. 输入免费旋转次数为100.5
2. 尝试保存</t>
  </si>
  <si>
    <t>系统不接受小数，只允许输入整数</t>
  </si>
  <si>
    <t>小数点限制</t>
  </si>
  <si>
    <t>1. 输入打码量为310.123
2. 点击保存</t>
  </si>
  <si>
    <t>系统自动四舍五入保留两位小数，变为310.12</t>
  </si>
  <si>
    <t>保存按钮</t>
  </si>
  <si>
    <t>1. 管理员已登录
2. 进入编辑模式
3. 修改了部分字段</t>
  </si>
  <si>
    <t>点击【保存】按钮</t>
  </si>
  <si>
    <t>弹出二次确认弹窗，显示变更内容</t>
  </si>
  <si>
    <t>二次确认弹窗内容</t>
  </si>
  <si>
    <t>1. 管理员已登录
2. 修改了多个字段
3. 点击保存</t>
  </si>
  <si>
    <t>查看二次确认弹窗</t>
  </si>
  <si>
    <t>弹窗清晰列出所有变更内容，包括字段名、原值和新值</t>
  </si>
  <si>
    <t>旧模式-打码量同步变更</t>
  </si>
  <si>
    <t>1. 管理员已登录
2. VIP模式为旧模式
3. 进入编辑模式
4. 修改VIP3的打码量</t>
  </si>
  <si>
    <t>1. 修改VIP3的打码量
2. 点击保存</t>
  </si>
  <si>
    <t>二次确认弹窗提示：VIP3的打码量变更将同步更新VIP2的最高打码量</t>
  </si>
  <si>
    <t>旧模式-充值同步变更</t>
  </si>
  <si>
    <t>1. 管理员已登录
2. VIP模式为旧模式
3. 进入编辑模式
4. 修改VIP3的充值</t>
  </si>
  <si>
    <t>1. 修改VIP3的充值
2. 点击保存</t>
  </si>
  <si>
    <t>二次确认弹窗提示：VIP3的充值变更将同步更新VIP2的最高充值</t>
  </si>
  <si>
    <t>防呆校验-VIP等级顺序</t>
  </si>
  <si>
    <t>1. 管理员已登录
2. 进入编辑模式
3. VIP模式为旧模式</t>
  </si>
  <si>
    <t>1. 修改VIP3的打码量为小于VIP2的打码量
2. 点击保存</t>
  </si>
  <si>
    <t>保存失败，提示："VIP3最低打码量不能小于VIP2最低打码量"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</si>
</sst>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  <scheme val="minor"/>
    </font>
    <font>
      <sz val="12"/>
      <color rgb="FF0F1115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10" borderId="15" applyNumberFormat="0" applyAlignment="0" applyProtection="0">
      <alignment vertical="center"/>
    </xf>
    <xf numFmtId="0" fontId="22" fillId="10" borderId="14" applyNumberFormat="0" applyAlignment="0" applyProtection="0">
      <alignment vertical="center"/>
    </xf>
    <xf numFmtId="0" fontId="23" fillId="11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6" xfId="0" applyFont="1" applyBorder="1">
      <alignment vertical="center"/>
    </xf>
    <xf numFmtId="0" fontId="10" fillId="7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0" fontId="10" fillId="7" borderId="1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10" fillId="7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vertic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664210</xdr:colOff>
      <xdr:row>7</xdr:row>
      <xdr:rowOff>249555</xdr:rowOff>
    </xdr:from>
    <xdr:to>
      <xdr:col>8</xdr:col>
      <xdr:colOff>1752600</xdr:colOff>
      <xdr:row>8</xdr:row>
      <xdr:rowOff>196850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362285" y="1630680"/>
          <a:ext cx="1088390" cy="455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590550</xdr:colOff>
      <xdr:row>11</xdr:row>
      <xdr:rowOff>476885</xdr:rowOff>
    </xdr:from>
    <xdr:to>
      <xdr:col>8</xdr:col>
      <xdr:colOff>1866900</xdr:colOff>
      <xdr:row>13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288625" y="3890010"/>
          <a:ext cx="1276350" cy="653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1353185</xdr:colOff>
      <xdr:row>14</xdr:row>
      <xdr:rowOff>250190</xdr:rowOff>
    </xdr:from>
    <xdr:to>
      <xdr:col>8</xdr:col>
      <xdr:colOff>1809750</xdr:colOff>
      <xdr:row>15</xdr:row>
      <xdr:rowOff>314325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051260" y="5187315"/>
          <a:ext cx="456565" cy="572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1038225</xdr:colOff>
      <xdr:row>16</xdr:row>
      <xdr:rowOff>278765</xdr:rowOff>
    </xdr:from>
    <xdr:to>
      <xdr:col>8</xdr:col>
      <xdr:colOff>1857375</xdr:colOff>
      <xdr:row>17</xdr:row>
      <xdr:rowOff>180975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736300" y="6231890"/>
          <a:ext cx="819150" cy="41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950595</xdr:colOff>
      <xdr:row>18</xdr:row>
      <xdr:rowOff>116840</xdr:rowOff>
    </xdr:from>
    <xdr:to>
      <xdr:col>8</xdr:col>
      <xdr:colOff>1971675</xdr:colOff>
      <xdr:row>19</xdr:row>
      <xdr:rowOff>266700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648670" y="7085965"/>
          <a:ext cx="1021080" cy="65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892175</xdr:colOff>
      <xdr:row>20</xdr:row>
      <xdr:rowOff>265430</xdr:rowOff>
    </xdr:from>
    <xdr:to>
      <xdr:col>8</xdr:col>
      <xdr:colOff>1924050</xdr:colOff>
      <xdr:row>21</xdr:row>
      <xdr:rowOff>269875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590250" y="8250555"/>
          <a:ext cx="1031875" cy="512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381000</xdr:colOff>
      <xdr:row>22</xdr:row>
      <xdr:rowOff>279400</xdr:rowOff>
    </xdr:from>
    <xdr:to>
      <xdr:col>8</xdr:col>
      <xdr:colOff>1057275</xdr:colOff>
      <xdr:row>23</xdr:row>
      <xdr:rowOff>146050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079075" y="9280525"/>
          <a:ext cx="676275" cy="37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1620520</xdr:colOff>
      <xdr:row>22</xdr:row>
      <xdr:rowOff>318770</xdr:rowOff>
    </xdr:from>
    <xdr:to>
      <xdr:col>8</xdr:col>
      <xdr:colOff>2267585</xdr:colOff>
      <xdr:row>23</xdr:row>
      <xdr:rowOff>126365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318595" y="9319895"/>
          <a:ext cx="647065" cy="315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928370</xdr:colOff>
      <xdr:row>25</xdr:row>
      <xdr:rowOff>5080</xdr:rowOff>
    </xdr:from>
    <xdr:to>
      <xdr:col>8</xdr:col>
      <xdr:colOff>1790700</xdr:colOff>
      <xdr:row>26</xdr:row>
      <xdr:rowOff>3175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626445" y="10530205"/>
          <a:ext cx="862330" cy="506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1010285</xdr:colOff>
      <xdr:row>27</xdr:row>
      <xdr:rowOff>364490</xdr:rowOff>
    </xdr:from>
    <xdr:to>
      <xdr:col>8</xdr:col>
      <xdr:colOff>1962150</xdr:colOff>
      <xdr:row>28</xdr:row>
      <xdr:rowOff>333375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708360" y="11905615"/>
          <a:ext cx="951865" cy="476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628015</xdr:colOff>
      <xdr:row>29</xdr:row>
      <xdr:rowOff>325120</xdr:rowOff>
    </xdr:from>
    <xdr:to>
      <xdr:col>8</xdr:col>
      <xdr:colOff>1885950</xdr:colOff>
      <xdr:row>30</xdr:row>
      <xdr:rowOff>317500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326090" y="13098145"/>
          <a:ext cx="1257935" cy="500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546100</xdr:colOff>
      <xdr:row>31</xdr:row>
      <xdr:rowOff>418465</xdr:rowOff>
    </xdr:from>
    <xdr:to>
      <xdr:col>8</xdr:col>
      <xdr:colOff>1952625</xdr:colOff>
      <xdr:row>33</xdr:row>
      <xdr:rowOff>73025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244175" y="14436090"/>
          <a:ext cx="1406525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788670</xdr:colOff>
      <xdr:row>35</xdr:row>
      <xdr:rowOff>59055</xdr:rowOff>
    </xdr:from>
    <xdr:to>
      <xdr:col>8</xdr:col>
      <xdr:colOff>2152650</xdr:colOff>
      <xdr:row>37</xdr:row>
      <xdr:rowOff>3175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486745" y="16019780"/>
          <a:ext cx="1363980" cy="744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867410</xdr:colOff>
      <xdr:row>38</xdr:row>
      <xdr:rowOff>393065</xdr:rowOff>
    </xdr:from>
    <xdr:to>
      <xdr:col>8</xdr:col>
      <xdr:colOff>1914525</xdr:colOff>
      <xdr:row>40</xdr:row>
      <xdr:rowOff>47625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565485" y="17661890"/>
          <a:ext cx="1047115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628650</xdr:colOff>
      <xdr:row>42</xdr:row>
      <xdr:rowOff>193675</xdr:rowOff>
    </xdr:from>
    <xdr:to>
      <xdr:col>8</xdr:col>
      <xdr:colOff>1675765</xdr:colOff>
      <xdr:row>43</xdr:row>
      <xdr:rowOff>356235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326725" y="19494500"/>
          <a:ext cx="1047115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257810</xdr:colOff>
      <xdr:row>45</xdr:row>
      <xdr:rowOff>360680</xdr:rowOff>
    </xdr:from>
    <xdr:to>
      <xdr:col>8</xdr:col>
      <xdr:colOff>1209675</xdr:colOff>
      <xdr:row>46</xdr:row>
      <xdr:rowOff>327025</xdr:rowOff>
    </xdr:to>
    <xdr:pic>
      <xdr:nvPicPr>
        <xdr:cNvPr id="17" name="图片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2955885" y="20918805"/>
          <a:ext cx="951865" cy="474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1558290</xdr:colOff>
      <xdr:row>45</xdr:row>
      <xdr:rowOff>364490</xdr:rowOff>
    </xdr:from>
    <xdr:to>
      <xdr:col>8</xdr:col>
      <xdr:colOff>2466975</xdr:colOff>
      <xdr:row>46</xdr:row>
      <xdr:rowOff>377825</xdr:rowOff>
    </xdr:to>
    <xdr:pic>
      <xdr:nvPicPr>
        <xdr:cNvPr id="18" name="图片 1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4256365" y="20922615"/>
          <a:ext cx="908685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998220</xdr:colOff>
      <xdr:row>9</xdr:row>
      <xdr:rowOff>309880</xdr:rowOff>
    </xdr:from>
    <xdr:to>
      <xdr:col>8</xdr:col>
      <xdr:colOff>2038350</xdr:colOff>
      <xdr:row>10</xdr:row>
      <xdr:rowOff>222250</xdr:rowOff>
    </xdr:to>
    <xdr:pic>
      <xdr:nvPicPr>
        <xdr:cNvPr id="19" name="图片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3696295" y="2707005"/>
          <a:ext cx="1040130" cy="4203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tabSelected="1" workbookViewId="0">
      <pane ySplit="7" topLeftCell="A8" activePane="bottomLeft" state="frozen"/>
      <selection/>
      <selection pane="bottomLeft" activeCell="C8" sqref="C8:C48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="1" customFormat="1" ht="16.5" customHeight="1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16</v>
      </c>
      <c r="I1" s="7"/>
    </row>
    <row r="2" s="1" customFormat="1" spans="1:9">
      <c r="A2" s="8" t="s">
        <v>2</v>
      </c>
      <c r="B2" s="9"/>
      <c r="C2" s="10"/>
      <c r="D2" s="10"/>
      <c r="E2" s="11" t="s">
        <v>3</v>
      </c>
      <c r="F2" s="12">
        <v>46038</v>
      </c>
      <c r="G2" s="13" t="s">
        <v>4</v>
      </c>
      <c r="H2" s="14">
        <f>COUNTIF(H8:H205,"Pass")</f>
        <v>16</v>
      </c>
      <c r="I2" s="7"/>
    </row>
    <row r="3" s="1" customFormat="1" ht="16.5" customHeight="1" spans="1:9">
      <c r="A3" s="15" t="s">
        <v>5</v>
      </c>
      <c r="B3" s="9"/>
      <c r="C3" s="10"/>
      <c r="D3" s="10"/>
      <c r="E3" s="16" t="s">
        <v>6</v>
      </c>
      <c r="F3" s="17"/>
      <c r="G3" s="18" t="s">
        <v>7</v>
      </c>
      <c r="H3" s="19">
        <f>COUNTIF(H8:H205,"Fail")</f>
        <v>0</v>
      </c>
      <c r="I3" s="7"/>
    </row>
    <row r="4" s="1" customFormat="1" ht="16.5" customHeight="1" spans="1:9">
      <c r="A4" s="20" t="s">
        <v>8</v>
      </c>
      <c r="B4" s="21"/>
      <c r="C4" s="10"/>
      <c r="D4" s="10"/>
      <c r="E4" s="22" t="s">
        <v>9</v>
      </c>
      <c r="F4" s="23"/>
      <c r="G4" s="24" t="s">
        <v>10</v>
      </c>
      <c r="H4" s="25">
        <f>COUNTIF(H8:H205,"N/A")</f>
        <v>0</v>
      </c>
      <c r="I4" s="7"/>
    </row>
    <row r="5" s="1" customFormat="1" ht="16.5" customHeight="1" spans="1:9">
      <c r="A5" s="15" t="s">
        <v>11</v>
      </c>
      <c r="B5" s="9"/>
      <c r="C5" s="10"/>
      <c r="D5" s="10"/>
      <c r="E5" s="16" t="s">
        <v>12</v>
      </c>
      <c r="F5" s="26"/>
      <c r="G5" s="7"/>
      <c r="H5" s="27"/>
      <c r="I5" s="7"/>
    </row>
    <row r="6" s="1" customFormat="1" spans="1:9">
      <c r="A6" s="28" t="s">
        <v>13</v>
      </c>
      <c r="B6" s="29"/>
      <c r="C6" s="30"/>
      <c r="D6" s="31"/>
      <c r="E6" s="32"/>
      <c r="F6" s="32"/>
      <c r="G6" s="33"/>
      <c r="H6" s="27"/>
      <c r="I6" s="7"/>
    </row>
    <row r="7" spans="1:9">
      <c r="A7" s="34" t="s">
        <v>14</v>
      </c>
      <c r="B7" s="34" t="s">
        <v>15</v>
      </c>
      <c r="C7" s="34" t="s">
        <v>16</v>
      </c>
      <c r="D7" s="34" t="s">
        <v>17</v>
      </c>
      <c r="E7" s="34" t="s">
        <v>18</v>
      </c>
      <c r="F7" s="34" t="s">
        <v>19</v>
      </c>
      <c r="G7" s="34" t="s">
        <v>20</v>
      </c>
      <c r="H7" s="34" t="s">
        <v>21</v>
      </c>
      <c r="I7" s="34" t="s">
        <v>22</v>
      </c>
    </row>
    <row r="8" ht="40" customHeight="1" spans="1:9">
      <c r="A8" s="35">
        <v>1</v>
      </c>
      <c r="B8" s="36" t="s">
        <v>23</v>
      </c>
      <c r="C8" s="36" t="s">
        <v>24</v>
      </c>
      <c r="D8" s="37" t="s">
        <v>25</v>
      </c>
      <c r="E8" s="38" t="s">
        <v>26</v>
      </c>
      <c r="F8" s="37" t="s">
        <v>27</v>
      </c>
      <c r="G8" s="37" t="s">
        <v>28</v>
      </c>
      <c r="H8" s="39" t="s">
        <v>29</v>
      </c>
      <c r="I8" s="40"/>
    </row>
    <row r="9" ht="40" customHeight="1" spans="1:9">
      <c r="A9" s="35"/>
      <c r="B9" s="41"/>
      <c r="C9" s="41"/>
      <c r="D9" s="37"/>
      <c r="E9" s="38"/>
      <c r="F9" s="37"/>
      <c r="G9" s="37"/>
      <c r="H9" s="42"/>
      <c r="I9" s="43"/>
    </row>
    <row r="10" ht="40" customHeight="1" spans="1:9">
      <c r="A10" s="35">
        <v>2</v>
      </c>
      <c r="B10" s="41"/>
      <c r="C10" s="41"/>
      <c r="D10" s="37" t="s">
        <v>30</v>
      </c>
      <c r="E10" s="38" t="s">
        <v>31</v>
      </c>
      <c r="F10" s="37" t="s">
        <v>27</v>
      </c>
      <c r="G10" s="37" t="s">
        <v>32</v>
      </c>
      <c r="H10" s="39" t="s">
        <v>29</v>
      </c>
      <c r="I10" s="44"/>
    </row>
    <row r="11" ht="40" customHeight="1" spans="1:9">
      <c r="A11" s="35"/>
      <c r="B11" s="41"/>
      <c r="C11" s="41"/>
      <c r="D11" s="37"/>
      <c r="E11" s="38"/>
      <c r="F11" s="37"/>
      <c r="G11" s="37"/>
      <c r="H11" s="42"/>
      <c r="I11" s="45"/>
    </row>
    <row r="12" ht="40" customHeight="1" spans="1:9">
      <c r="A12" s="35">
        <v>3</v>
      </c>
      <c r="B12" s="41"/>
      <c r="C12" s="41"/>
      <c r="D12" s="37" t="s">
        <v>33</v>
      </c>
      <c r="E12" s="38" t="s">
        <v>26</v>
      </c>
      <c r="F12" s="37" t="s">
        <v>34</v>
      </c>
      <c r="G12" s="46" t="s">
        <v>35</v>
      </c>
      <c r="H12" s="39" t="s">
        <v>29</v>
      </c>
      <c r="I12" s="47"/>
    </row>
    <row r="13" ht="40" customHeight="1" spans="1:9">
      <c r="A13" s="35"/>
      <c r="B13" s="41"/>
      <c r="C13" s="41"/>
      <c r="D13" s="37"/>
      <c r="E13" s="38"/>
      <c r="F13" s="37"/>
      <c r="G13" s="48"/>
      <c r="H13" s="49"/>
      <c r="I13" s="50"/>
    </row>
    <row r="14" ht="40" customHeight="1" spans="1:9">
      <c r="A14" s="35"/>
      <c r="B14" s="41"/>
      <c r="C14" s="41"/>
      <c r="D14" s="37"/>
      <c r="E14" s="38"/>
      <c r="F14" s="37"/>
      <c r="G14" s="51"/>
      <c r="H14" s="42"/>
      <c r="I14" s="52"/>
    </row>
    <row r="15" ht="40" customHeight="1" spans="1:9">
      <c r="A15" s="35">
        <v>4</v>
      </c>
      <c r="B15" s="41"/>
      <c r="C15" s="41"/>
      <c r="D15" s="37" t="s">
        <v>36</v>
      </c>
      <c r="E15" s="38" t="s">
        <v>37</v>
      </c>
      <c r="F15" s="37" t="s">
        <v>38</v>
      </c>
      <c r="G15" s="37" t="s">
        <v>39</v>
      </c>
      <c r="H15" s="39" t="s">
        <v>29</v>
      </c>
      <c r="I15" s="53"/>
    </row>
    <row r="16" ht="40" customHeight="1" spans="1:9">
      <c r="A16" s="35"/>
      <c r="B16" s="41"/>
      <c r="C16" s="41"/>
      <c r="D16" s="37"/>
      <c r="E16" s="38"/>
      <c r="F16" s="37"/>
      <c r="G16" s="37"/>
      <c r="H16" s="42"/>
      <c r="I16" s="54"/>
    </row>
    <row r="17" ht="40" customHeight="1" spans="1:9">
      <c r="A17" s="35">
        <v>5</v>
      </c>
      <c r="B17" s="41"/>
      <c r="C17" s="41"/>
      <c r="D17" s="37" t="s">
        <v>40</v>
      </c>
      <c r="E17" s="38" t="s">
        <v>37</v>
      </c>
      <c r="F17" s="46" t="s">
        <v>41</v>
      </c>
      <c r="G17" s="37" t="s">
        <v>42</v>
      </c>
      <c r="H17" s="39" t="s">
        <v>29</v>
      </c>
      <c r="I17" s="55"/>
    </row>
    <row r="18" ht="40" customHeight="1" spans="1:9">
      <c r="A18" s="35"/>
      <c r="B18" s="41"/>
      <c r="C18" s="41"/>
      <c r="D18" s="37"/>
      <c r="E18" s="38"/>
      <c r="F18" s="51"/>
      <c r="G18" s="37"/>
      <c r="H18" s="42"/>
      <c r="I18" s="56"/>
    </row>
    <row r="19" ht="40" customHeight="1" spans="1:9">
      <c r="A19" s="35">
        <v>6</v>
      </c>
      <c r="B19" s="41"/>
      <c r="C19" s="41"/>
      <c r="D19" s="37" t="s">
        <v>43</v>
      </c>
      <c r="E19" s="38" t="s">
        <v>37</v>
      </c>
      <c r="F19" s="46" t="s">
        <v>44</v>
      </c>
      <c r="G19" s="37" t="s">
        <v>45</v>
      </c>
      <c r="H19" s="39" t="s">
        <v>29</v>
      </c>
      <c r="I19" s="53"/>
    </row>
    <row r="20" ht="40" customHeight="1" spans="1:9">
      <c r="A20" s="35"/>
      <c r="B20" s="41"/>
      <c r="C20" s="41"/>
      <c r="D20" s="37"/>
      <c r="E20" s="38"/>
      <c r="F20" s="51"/>
      <c r="G20" s="37"/>
      <c r="H20" s="42"/>
      <c r="I20" s="54"/>
    </row>
    <row r="21" ht="40" customHeight="1" spans="1:9">
      <c r="A21" s="35">
        <v>7</v>
      </c>
      <c r="B21" s="41"/>
      <c r="C21" s="41"/>
      <c r="D21" s="37" t="s">
        <v>46</v>
      </c>
      <c r="E21" s="38" t="s">
        <v>37</v>
      </c>
      <c r="F21" s="46" t="s">
        <v>47</v>
      </c>
      <c r="G21" s="37" t="s">
        <v>48</v>
      </c>
      <c r="H21" s="39" t="s">
        <v>29</v>
      </c>
      <c r="I21" s="55"/>
    </row>
    <row r="22" ht="40" customHeight="1" spans="1:9">
      <c r="A22" s="35"/>
      <c r="B22" s="41"/>
      <c r="C22" s="41"/>
      <c r="D22" s="37"/>
      <c r="E22" s="38"/>
      <c r="F22" s="51"/>
      <c r="G22" s="37"/>
      <c r="H22" s="42"/>
      <c r="I22" s="56"/>
    </row>
    <row r="23" ht="40" customHeight="1" spans="1:9">
      <c r="A23" s="35">
        <v>8</v>
      </c>
      <c r="B23" s="41"/>
      <c r="C23" s="41"/>
      <c r="D23" s="37" t="s">
        <v>49</v>
      </c>
      <c r="E23" s="38" t="s">
        <v>37</v>
      </c>
      <c r="F23" s="46" t="s">
        <v>50</v>
      </c>
      <c r="G23" s="37" t="s">
        <v>51</v>
      </c>
      <c r="H23" s="39" t="s">
        <v>29</v>
      </c>
      <c r="I23" s="55"/>
    </row>
    <row r="24" ht="40" customHeight="1" spans="1:9">
      <c r="A24" s="35"/>
      <c r="B24" s="41"/>
      <c r="C24" s="41"/>
      <c r="D24" s="37"/>
      <c r="E24" s="38"/>
      <c r="F24" s="51"/>
      <c r="G24" s="37"/>
      <c r="H24" s="42"/>
      <c r="I24" s="56"/>
    </row>
    <row r="25" ht="40" customHeight="1" spans="1:9">
      <c r="A25" s="35">
        <v>9</v>
      </c>
      <c r="B25" s="41"/>
      <c r="C25" s="41"/>
      <c r="D25" s="37" t="s">
        <v>52</v>
      </c>
      <c r="E25" s="38" t="s">
        <v>53</v>
      </c>
      <c r="F25" s="46" t="s">
        <v>54</v>
      </c>
      <c r="G25" s="37" t="s">
        <v>55</v>
      </c>
      <c r="H25" s="39" t="s">
        <v>29</v>
      </c>
      <c r="I25" s="55"/>
    </row>
    <row r="26" ht="40" customHeight="1" spans="1:9">
      <c r="A26" s="35"/>
      <c r="B26" s="41"/>
      <c r="C26" s="41"/>
      <c r="D26" s="37"/>
      <c r="E26" s="38"/>
      <c r="F26" s="48"/>
      <c r="G26" s="37"/>
      <c r="H26" s="49"/>
      <c r="I26" s="57"/>
    </row>
    <row r="27" ht="40" customHeight="1" spans="1:9">
      <c r="A27" s="35"/>
      <c r="B27" s="41"/>
      <c r="C27" s="41"/>
      <c r="D27" s="37"/>
      <c r="E27" s="38"/>
      <c r="F27" s="51"/>
      <c r="G27" s="37"/>
      <c r="H27" s="42"/>
      <c r="I27" s="56"/>
    </row>
    <row r="28" ht="40" customHeight="1" spans="1:9">
      <c r="A28" s="35">
        <v>10</v>
      </c>
      <c r="B28" s="41"/>
      <c r="C28" s="41"/>
      <c r="D28" s="37" t="s">
        <v>56</v>
      </c>
      <c r="E28" s="38" t="s">
        <v>37</v>
      </c>
      <c r="F28" s="46" t="s">
        <v>57</v>
      </c>
      <c r="G28" s="37" t="s">
        <v>58</v>
      </c>
      <c r="H28" s="39" t="s">
        <v>29</v>
      </c>
      <c r="I28" s="53"/>
    </row>
    <row r="29" ht="57" customHeight="1" spans="1:9">
      <c r="A29" s="35"/>
      <c r="B29" s="41"/>
      <c r="C29" s="41"/>
      <c r="D29" s="37"/>
      <c r="E29" s="38"/>
      <c r="F29" s="51"/>
      <c r="G29" s="37"/>
      <c r="H29" s="42"/>
      <c r="I29" s="54"/>
    </row>
    <row r="30" ht="40" customHeight="1" spans="1:9">
      <c r="A30" s="35">
        <v>11</v>
      </c>
      <c r="B30" s="41"/>
      <c r="C30" s="41"/>
      <c r="D30" s="37" t="s">
        <v>59</v>
      </c>
      <c r="E30" s="38" t="s">
        <v>37</v>
      </c>
      <c r="F30" s="46" t="s">
        <v>60</v>
      </c>
      <c r="G30" s="37" t="s">
        <v>61</v>
      </c>
      <c r="H30" s="39" t="s">
        <v>29</v>
      </c>
      <c r="I30" s="53"/>
    </row>
    <row r="31" ht="58" customHeight="1" spans="1:9">
      <c r="A31" s="35"/>
      <c r="B31" s="41"/>
      <c r="C31" s="41"/>
      <c r="D31" s="37"/>
      <c r="E31" s="38"/>
      <c r="F31" s="51"/>
      <c r="G31" s="37"/>
      <c r="H31" s="42"/>
      <c r="I31" s="54"/>
    </row>
    <row r="32" ht="40" customHeight="1" spans="1:9">
      <c r="A32" s="35">
        <v>12</v>
      </c>
      <c r="B32" s="41"/>
      <c r="C32" s="41"/>
      <c r="D32" s="37" t="s">
        <v>62</v>
      </c>
      <c r="E32" s="38" t="s">
        <v>63</v>
      </c>
      <c r="F32" s="37" t="s">
        <v>64</v>
      </c>
      <c r="G32" s="37" t="s">
        <v>65</v>
      </c>
      <c r="H32" s="39" t="s">
        <v>29</v>
      </c>
      <c r="I32" s="53"/>
    </row>
    <row r="33" ht="40" customHeight="1" spans="1:9">
      <c r="A33" s="35"/>
      <c r="B33" s="41"/>
      <c r="C33" s="41"/>
      <c r="D33" s="37"/>
      <c r="E33" s="38"/>
      <c r="F33" s="37"/>
      <c r="G33" s="37"/>
      <c r="H33" s="49"/>
      <c r="I33" s="58"/>
    </row>
    <row r="34" ht="33" customHeight="1" spans="1:9">
      <c r="A34" s="35"/>
      <c r="B34" s="41"/>
      <c r="C34" s="41"/>
      <c r="D34" s="37"/>
      <c r="E34" s="38"/>
      <c r="F34" s="37"/>
      <c r="G34" s="37"/>
      <c r="H34" s="42"/>
      <c r="I34" s="54"/>
    </row>
    <row r="35" ht="40" customHeight="1" spans="1:9">
      <c r="A35" s="35">
        <v>13</v>
      </c>
      <c r="B35" s="41"/>
      <c r="C35" s="41"/>
      <c r="D35" s="37" t="s">
        <v>66</v>
      </c>
      <c r="E35" s="38" t="s">
        <v>67</v>
      </c>
      <c r="F35" s="37" t="s">
        <v>68</v>
      </c>
      <c r="G35" s="37" t="s">
        <v>69</v>
      </c>
      <c r="H35" s="39" t="s">
        <v>29</v>
      </c>
      <c r="I35" s="53"/>
    </row>
    <row r="36" ht="40" customHeight="1" spans="1:9">
      <c r="A36" s="35"/>
      <c r="B36" s="41"/>
      <c r="C36" s="41"/>
      <c r="D36" s="37"/>
      <c r="E36" s="38"/>
      <c r="F36" s="37"/>
      <c r="G36" s="37"/>
      <c r="H36" s="49"/>
      <c r="I36" s="58"/>
    </row>
    <row r="37" ht="23" customHeight="1" spans="1:9">
      <c r="A37" s="35"/>
      <c r="B37" s="41"/>
      <c r="C37" s="41"/>
      <c r="D37" s="37"/>
      <c r="E37" s="38"/>
      <c r="F37" s="37"/>
      <c r="G37" s="37"/>
      <c r="H37" s="42"/>
      <c r="I37" s="54"/>
    </row>
    <row r="38" ht="40" customHeight="1" spans="1:9">
      <c r="A38" s="35">
        <v>14</v>
      </c>
      <c r="B38" s="41"/>
      <c r="C38" s="41"/>
      <c r="D38" s="37" t="s">
        <v>70</v>
      </c>
      <c r="E38" s="38" t="s">
        <v>71</v>
      </c>
      <c r="F38" s="46" t="s">
        <v>72</v>
      </c>
      <c r="G38" s="37" t="s">
        <v>73</v>
      </c>
      <c r="H38" s="39" t="s">
        <v>29</v>
      </c>
      <c r="I38" s="53"/>
    </row>
    <row r="39" ht="40" customHeight="1" spans="1:9">
      <c r="A39" s="35"/>
      <c r="B39" s="41"/>
      <c r="C39" s="41"/>
      <c r="D39" s="37"/>
      <c r="E39" s="38"/>
      <c r="F39" s="48"/>
      <c r="G39" s="37"/>
      <c r="H39" s="49"/>
      <c r="I39" s="58"/>
    </row>
    <row r="40" ht="40" customHeight="1" spans="1:9">
      <c r="A40" s="35"/>
      <c r="B40" s="41"/>
      <c r="C40" s="41"/>
      <c r="D40" s="37"/>
      <c r="E40" s="38"/>
      <c r="F40" s="48"/>
      <c r="G40" s="37"/>
      <c r="H40" s="49"/>
      <c r="I40" s="58"/>
    </row>
    <row r="41" ht="40" customHeight="1" spans="1:9">
      <c r="A41" s="35"/>
      <c r="B41" s="41"/>
      <c r="C41" s="41"/>
      <c r="D41" s="37"/>
      <c r="E41" s="38"/>
      <c r="F41" s="51"/>
      <c r="G41" s="37"/>
      <c r="H41" s="42"/>
      <c r="I41" s="54"/>
    </row>
    <row r="42" ht="40" customHeight="1" spans="1:9">
      <c r="A42" s="35">
        <v>15</v>
      </c>
      <c r="B42" s="41"/>
      <c r="C42" s="41"/>
      <c r="D42" s="37" t="s">
        <v>74</v>
      </c>
      <c r="E42" s="38" t="s">
        <v>75</v>
      </c>
      <c r="F42" s="46" t="s">
        <v>76</v>
      </c>
      <c r="G42" s="37" t="s">
        <v>77</v>
      </c>
      <c r="H42" s="39" t="s">
        <v>29</v>
      </c>
      <c r="I42" s="53"/>
    </row>
    <row r="43" ht="40" customHeight="1" spans="1:9">
      <c r="A43" s="35"/>
      <c r="B43" s="41"/>
      <c r="C43" s="41"/>
      <c r="D43" s="37"/>
      <c r="E43" s="38"/>
      <c r="F43" s="48"/>
      <c r="G43" s="37"/>
      <c r="H43" s="49"/>
      <c r="I43" s="58"/>
    </row>
    <row r="44" ht="40" customHeight="1" spans="1:9">
      <c r="A44" s="35"/>
      <c r="B44" s="41"/>
      <c r="C44" s="41"/>
      <c r="D44" s="37"/>
      <c r="E44" s="38"/>
      <c r="F44" s="48"/>
      <c r="G44" s="37"/>
      <c r="H44" s="49"/>
      <c r="I44" s="58"/>
    </row>
    <row r="45" ht="19" customHeight="1" spans="1:9">
      <c r="A45" s="35"/>
      <c r="B45" s="41"/>
      <c r="C45" s="41"/>
      <c r="D45" s="37"/>
      <c r="E45" s="38"/>
      <c r="F45" s="51"/>
      <c r="G45" s="37"/>
      <c r="H45" s="42"/>
      <c r="I45" s="54"/>
    </row>
    <row r="46" ht="40" customHeight="1" spans="1:9">
      <c r="A46" s="35">
        <v>16</v>
      </c>
      <c r="B46" s="41"/>
      <c r="C46" s="41"/>
      <c r="D46" s="37" t="s">
        <v>78</v>
      </c>
      <c r="E46" s="46" t="s">
        <v>79</v>
      </c>
      <c r="F46" s="46" t="s">
        <v>80</v>
      </c>
      <c r="G46" s="37" t="s">
        <v>81</v>
      </c>
      <c r="H46" s="59" t="s">
        <v>4</v>
      </c>
      <c r="I46" s="53"/>
    </row>
    <row r="47" ht="40" customHeight="1" spans="1:9">
      <c r="A47" s="35"/>
      <c r="B47" s="41"/>
      <c r="C47" s="41"/>
      <c r="D47" s="37"/>
      <c r="E47" s="48"/>
      <c r="F47" s="48"/>
      <c r="G47" s="37"/>
      <c r="H47" s="60"/>
      <c r="I47" s="58"/>
    </row>
    <row r="48" ht="40" customHeight="1" spans="1:9">
      <c r="A48" s="35"/>
      <c r="B48" s="61"/>
      <c r="C48" s="61"/>
      <c r="D48" s="37"/>
      <c r="E48" s="51"/>
      <c r="F48" s="51"/>
      <c r="G48" s="37"/>
      <c r="H48" s="62"/>
      <c r="I48" s="54"/>
    </row>
  </sheetData>
  <mergeCells count="120">
    <mergeCell ref="A1:F1"/>
    <mergeCell ref="C2:D2"/>
    <mergeCell ref="C3:D3"/>
    <mergeCell ref="C4:D4"/>
    <mergeCell ref="C5:D5"/>
    <mergeCell ref="C6:F6"/>
    <mergeCell ref="A8:A9"/>
    <mergeCell ref="A10:A11"/>
    <mergeCell ref="A12:A14"/>
    <mergeCell ref="A15:A16"/>
    <mergeCell ref="A17:A18"/>
    <mergeCell ref="A19:A20"/>
    <mergeCell ref="A21:A22"/>
    <mergeCell ref="A23:A24"/>
    <mergeCell ref="A25:A27"/>
    <mergeCell ref="A28:A29"/>
    <mergeCell ref="A30:A31"/>
    <mergeCell ref="A32:A34"/>
    <mergeCell ref="A35:A37"/>
    <mergeCell ref="A38:A41"/>
    <mergeCell ref="A42:A45"/>
    <mergeCell ref="A46:A48"/>
    <mergeCell ref="B8:B48"/>
    <mergeCell ref="C8:C48"/>
    <mergeCell ref="D8:D9"/>
    <mergeCell ref="D10:D11"/>
    <mergeCell ref="D12:D14"/>
    <mergeCell ref="D15:D16"/>
    <mergeCell ref="D17:D18"/>
    <mergeCell ref="D19:D20"/>
    <mergeCell ref="D21:D22"/>
    <mergeCell ref="D23:D24"/>
    <mergeCell ref="D25:D27"/>
    <mergeCell ref="D28:D29"/>
    <mergeCell ref="D30:D31"/>
    <mergeCell ref="D32:D34"/>
    <mergeCell ref="D35:D37"/>
    <mergeCell ref="D38:D41"/>
    <mergeCell ref="D42:D45"/>
    <mergeCell ref="D46:D48"/>
    <mergeCell ref="E8:E9"/>
    <mergeCell ref="E10:E11"/>
    <mergeCell ref="E12:E14"/>
    <mergeCell ref="E15:E16"/>
    <mergeCell ref="E17:E18"/>
    <mergeCell ref="E19:E20"/>
    <mergeCell ref="E21:E22"/>
    <mergeCell ref="E23:E24"/>
    <mergeCell ref="E25:E27"/>
    <mergeCell ref="E28:E29"/>
    <mergeCell ref="E30:E31"/>
    <mergeCell ref="E32:E34"/>
    <mergeCell ref="E35:E37"/>
    <mergeCell ref="E38:E41"/>
    <mergeCell ref="E42:E45"/>
    <mergeCell ref="E46:E48"/>
    <mergeCell ref="F8:F9"/>
    <mergeCell ref="F10:F11"/>
    <mergeCell ref="F12:F14"/>
    <mergeCell ref="F15:F16"/>
    <mergeCell ref="F17:F18"/>
    <mergeCell ref="F19:F20"/>
    <mergeCell ref="F21:F22"/>
    <mergeCell ref="F23:F24"/>
    <mergeCell ref="F25:F27"/>
    <mergeCell ref="F28:F29"/>
    <mergeCell ref="F30:F31"/>
    <mergeCell ref="F32:F34"/>
    <mergeCell ref="F35:F37"/>
    <mergeCell ref="F38:F41"/>
    <mergeCell ref="F42:F45"/>
    <mergeCell ref="F46:F48"/>
    <mergeCell ref="G8:G9"/>
    <mergeCell ref="G10:G11"/>
    <mergeCell ref="G12:G14"/>
    <mergeCell ref="G15:G16"/>
    <mergeCell ref="G17:G18"/>
    <mergeCell ref="G19:G20"/>
    <mergeCell ref="G21:G22"/>
    <mergeCell ref="G23:G24"/>
    <mergeCell ref="G25:G27"/>
    <mergeCell ref="G28:G29"/>
    <mergeCell ref="G30:G31"/>
    <mergeCell ref="G32:G34"/>
    <mergeCell ref="G35:G37"/>
    <mergeCell ref="G38:G41"/>
    <mergeCell ref="G42:G45"/>
    <mergeCell ref="G46:G48"/>
    <mergeCell ref="H8:H9"/>
    <mergeCell ref="H10:H11"/>
    <mergeCell ref="H12:H14"/>
    <mergeCell ref="H15:H16"/>
    <mergeCell ref="H17:H18"/>
    <mergeCell ref="H19:H20"/>
    <mergeCell ref="H21:H22"/>
    <mergeCell ref="H23:H24"/>
    <mergeCell ref="H25:H27"/>
    <mergeCell ref="H28:H29"/>
    <mergeCell ref="H30:H31"/>
    <mergeCell ref="H32:H34"/>
    <mergeCell ref="H35:H37"/>
    <mergeCell ref="H38:H41"/>
    <mergeCell ref="H42:H45"/>
    <mergeCell ref="H46:H48"/>
    <mergeCell ref="I8:I9"/>
    <mergeCell ref="I10:I11"/>
    <mergeCell ref="I12:I14"/>
    <mergeCell ref="I15:I16"/>
    <mergeCell ref="I17:I18"/>
    <mergeCell ref="I19:I20"/>
    <mergeCell ref="I21:I22"/>
    <mergeCell ref="I23:I24"/>
    <mergeCell ref="I25:I27"/>
    <mergeCell ref="I28:I29"/>
    <mergeCell ref="I30:I31"/>
    <mergeCell ref="I32:I34"/>
    <mergeCell ref="I35:I37"/>
    <mergeCell ref="I38:I41"/>
    <mergeCell ref="I42:I45"/>
    <mergeCell ref="I46:I48"/>
  </mergeCells>
  <conditionalFormatting sqref="H8">
    <cfRule type="cellIs" dxfId="0" priority="163" stopIfTrue="1" operator="equal">
      <formula>"N/A"</formula>
    </cfRule>
    <cfRule type="cellIs" dxfId="1" priority="164" stopIfTrue="1" operator="equal">
      <formula>"Fail"</formula>
    </cfRule>
    <cfRule type="cellIs" dxfId="2" priority="165" stopIfTrue="1" operator="equal">
      <formula>"Pass"</formula>
    </cfRule>
  </conditionalFormatting>
  <conditionalFormatting sqref="H10">
    <cfRule type="cellIs" dxfId="2" priority="3" stopIfTrue="1" operator="equal">
      <formula>"Pass"</formula>
    </cfRule>
    <cfRule type="cellIs" dxfId="1" priority="2" stopIfTrue="1" operator="equal">
      <formula>"Fail"</formula>
    </cfRule>
    <cfRule type="cellIs" dxfId="0" priority="1" stopIfTrue="1" operator="equal">
      <formula>"N/A"</formula>
    </cfRule>
  </conditionalFormatting>
  <conditionalFormatting sqref="H12">
    <cfRule type="cellIs" dxfId="0" priority="190" stopIfTrue="1" operator="equal">
      <formula>"N/A"</formula>
    </cfRule>
    <cfRule type="cellIs" dxfId="1" priority="191" stopIfTrue="1" operator="equal">
      <formula>"Fail"</formula>
    </cfRule>
    <cfRule type="cellIs" dxfId="2" priority="192" stopIfTrue="1" operator="equal">
      <formula>"Pass"</formula>
    </cfRule>
  </conditionalFormatting>
  <conditionalFormatting sqref="H19">
    <cfRule type="cellIs" dxfId="0" priority="121" stopIfTrue="1" operator="equal">
      <formula>"N/A"</formula>
    </cfRule>
    <cfRule type="cellIs" dxfId="1" priority="141" stopIfTrue="1" operator="equal">
      <formula>"Fail"</formula>
    </cfRule>
    <cfRule type="cellIs" dxfId="2" priority="161" stopIfTrue="1" operator="equal">
      <formula>"Pass"</formula>
    </cfRule>
  </conditionalFormatting>
  <conditionalFormatting sqref="H21">
    <cfRule type="cellIs" dxfId="0" priority="119" stopIfTrue="1" operator="equal">
      <formula>"N/A"</formula>
    </cfRule>
    <cfRule type="cellIs" dxfId="1" priority="139" stopIfTrue="1" operator="equal">
      <formula>"Fail"</formula>
    </cfRule>
    <cfRule type="cellIs" dxfId="2" priority="159" stopIfTrue="1" operator="equal">
      <formula>"Pass"</formula>
    </cfRule>
  </conditionalFormatting>
  <conditionalFormatting sqref="H23">
    <cfRule type="cellIs" dxfId="0" priority="117" stopIfTrue="1" operator="equal">
      <formula>"N/A"</formula>
    </cfRule>
    <cfRule type="cellIs" dxfId="1" priority="137" stopIfTrue="1" operator="equal">
      <formula>"Fail"</formula>
    </cfRule>
    <cfRule type="cellIs" dxfId="2" priority="157" stopIfTrue="1" operator="equal">
      <formula>"Pass"</formula>
    </cfRule>
  </conditionalFormatting>
  <conditionalFormatting sqref="H25">
    <cfRule type="cellIs" dxfId="0" priority="115" stopIfTrue="1" operator="equal">
      <formula>"N/A"</formula>
    </cfRule>
    <cfRule type="cellIs" dxfId="1" priority="135" stopIfTrue="1" operator="equal">
      <formula>"Fail"</formula>
    </cfRule>
    <cfRule type="cellIs" dxfId="2" priority="155" stopIfTrue="1" operator="equal">
      <formula>"Pass"</formula>
    </cfRule>
  </conditionalFormatting>
  <conditionalFormatting sqref="H28">
    <cfRule type="cellIs" dxfId="0" priority="112" stopIfTrue="1" operator="equal">
      <formula>"N/A"</formula>
    </cfRule>
    <cfRule type="cellIs" dxfId="1" priority="132" stopIfTrue="1" operator="equal">
      <formula>"Fail"</formula>
    </cfRule>
    <cfRule type="cellIs" dxfId="2" priority="152" stopIfTrue="1" operator="equal">
      <formula>"Pass"</formula>
    </cfRule>
  </conditionalFormatting>
  <conditionalFormatting sqref="H30">
    <cfRule type="cellIs" dxfId="0" priority="110" stopIfTrue="1" operator="equal">
      <formula>"N/A"</formula>
    </cfRule>
    <cfRule type="cellIs" dxfId="1" priority="130" stopIfTrue="1" operator="equal">
      <formula>"Fail"</formula>
    </cfRule>
    <cfRule type="cellIs" dxfId="2" priority="150" stopIfTrue="1" operator="equal">
      <formula>"Pass"</formula>
    </cfRule>
  </conditionalFormatting>
  <conditionalFormatting sqref="H32">
    <cfRule type="cellIs" dxfId="0" priority="108" stopIfTrue="1" operator="equal">
      <formula>"N/A"</formula>
    </cfRule>
    <cfRule type="cellIs" dxfId="1" priority="128" stopIfTrue="1" operator="equal">
      <formula>"Fail"</formula>
    </cfRule>
    <cfRule type="cellIs" dxfId="2" priority="148" stopIfTrue="1" operator="equal">
      <formula>"Pass"</formula>
    </cfRule>
  </conditionalFormatting>
  <conditionalFormatting sqref="H35">
    <cfRule type="cellIs" dxfId="0" priority="105" stopIfTrue="1" operator="equal">
      <formula>"N/A"</formula>
    </cfRule>
    <cfRule type="cellIs" dxfId="1" priority="125" stopIfTrue="1" operator="equal">
      <formula>"Fail"</formula>
    </cfRule>
    <cfRule type="cellIs" dxfId="2" priority="145" stopIfTrue="1" operator="equal">
      <formula>"Pass"</formula>
    </cfRule>
  </conditionalFormatting>
  <conditionalFormatting sqref="H38">
    <cfRule type="cellIs" dxfId="0" priority="36" stopIfTrue="1" operator="equal">
      <formula>"N/A"</formula>
    </cfRule>
    <cfRule type="cellIs" dxfId="1" priority="69" stopIfTrue="1" operator="equal">
      <formula>"Fail"</formula>
    </cfRule>
    <cfRule type="cellIs" dxfId="2" priority="102" stopIfTrue="1" operator="equal">
      <formula>"Pass"</formula>
    </cfRule>
  </conditionalFormatting>
  <conditionalFormatting sqref="H42">
    <cfRule type="cellIs" dxfId="0" priority="32" stopIfTrue="1" operator="equal">
      <formula>"N/A"</formula>
    </cfRule>
    <cfRule type="cellIs" dxfId="1" priority="65" stopIfTrue="1" operator="equal">
      <formula>"Fail"</formula>
    </cfRule>
    <cfRule type="cellIs" dxfId="2" priority="98" stopIfTrue="1" operator="equal">
      <formula>"Pass"</formula>
    </cfRule>
  </conditionalFormatting>
  <conditionalFormatting sqref="H46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15 H17">
    <cfRule type="cellIs" dxfId="0" priority="175" stopIfTrue="1" operator="equal">
      <formula>"N/A"</formula>
    </cfRule>
    <cfRule type="cellIs" dxfId="1" priority="176" stopIfTrue="1" operator="equal">
      <formula>"Fail"</formula>
    </cfRule>
    <cfRule type="cellIs" dxfId="2" priority="177" stopIfTrue="1" operator="equal">
      <formula>"Pass"</formula>
    </cfRule>
  </conditionalFormatting>
  <dataValidations count="1">
    <dataValidation type="list" allowBlank="1" showInputMessage="1" showErrorMessage="1" sqref="H8:H48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VIP等级编辑模块操作优化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2026-01-16T08:46:35Z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