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全民代分享好礼优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52C7B48C5D041E7AACFBBF44B19FCA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1969730" y="2216785"/>
          <a:ext cx="1857375" cy="5905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9A6E170161D94B8DB1091042DCB145A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903690" y="3101340"/>
          <a:ext cx="797560" cy="69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00AF2E4060B41FE9489BF801163EBFF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1088350" y="13410565"/>
          <a:ext cx="15382875" cy="35052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<sst xmlns="http://schemas.openxmlformats.org/spreadsheetml/2006/main" count="121" uniqueCount="80">
  <si>
    <t>全民代分享好礼优化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</si>
  <si>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</si>
  <si>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</si>
  <si>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</si>
  <si>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</si>
  <si>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</si>
  <si>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</si>
  <si>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</si>
  <si>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</si>
  <si>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</si>
  <si>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</si>
  <si>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</si>
  <si>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</si>
  <si>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</si>
  <si>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</si>
  <si>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</si>
  <si>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</si>
  <si>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</si>
  <si>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</si>
  <si>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</si>
  <si>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</si>
  <si>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</si>
  <si>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</si>
  <si>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</si>
  <si>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全民代管理-分享好礼-达标限制</t>
  </si>
  <si>
    <t>有效打码量为空时不限制</t>
  </si>
  <si>
    <t>/</t>
  </si>
  <si>
    <t>1、在有效打码量输入框中留空
2、不配置打码量游戏
3、点击保存按钮</t>
  </si>
  <si>
    <t>保存成功，页面提示保存成功
（前端验证）成功成为下级后，无需打码量，上级的分享宝箱成功人数+1</t>
  </si>
  <si>
    <t>有效打码量配置且游戏配置完整</t>
  </si>
  <si>
    <t>1、在有效打码量输入框中输入数值：10000
2、在打码量游戏配置中选择至少一个游戏
3、点击保存按钮</t>
  </si>
  <si>
    <t>保存成功，页面提示保存成功
（前端验证）下级符合条件后，上级的分享宝箱成功人数+1</t>
  </si>
  <si>
    <t>有效打码量有值但游戏未配置时提示错误</t>
  </si>
  <si>
    <t>1、在有效打码量输入框中输入数值：5000
2、不配置任何打码量游戏
3、点击保存按钮</t>
  </si>
  <si>
    <t>保存失败，页面提示：请进行打码量游戏配置</t>
  </si>
  <si>
    <t>打码量游戏多选功能</t>
  </si>
  <si>
    <t>1、在有效打码量输入框中输入数值：20000
2、打开打码量游戏配置组件
3、选择多个游戏（如：游戏A、游戏B、游戏C）
4、点击保存按钮</t>
  </si>
  <si>
    <t>保存成功，所选游戏被正确保存并计算有效打码量</t>
  </si>
  <si>
    <t>修改有效打码量配置</t>
  </si>
  <si>
    <t>1、找到已存在的配置记录
2、修改有效打码量数值
3、点击保存按钮</t>
  </si>
  <si>
    <t>保存成功，新的打码量数值被更新</t>
  </si>
  <si>
    <t>有效打码量输入非数字字符</t>
  </si>
  <si>
    <t>1、在有效打码量输入框中输入字母：abc
2、配置至少一个打码量游戏
3、点击保存按钮</t>
  </si>
  <si>
    <t>保存失败，提示输入格式错误或自动过滤非数字字符</t>
  </si>
  <si>
    <t>有效打码量输入特殊字符</t>
  </si>
  <si>
    <t>1、在有效打码量输入框中输入特殊字符：&lt;&gt;&amp;
2、配置至少一个打码量游戏
3、点击保存按钮</t>
  </si>
  <si>
    <t>保存失败，提示输入格式错误或自动过滤特殊字符</t>
  </si>
  <si>
    <t>有效打码量输入负数</t>
  </si>
  <si>
    <t>1、在有效打码量输入框中输入负数：-1000
2、配置至少一个打码量游戏
3、点击保存按钮</t>
  </si>
  <si>
    <t>保存失败，提示打码量不能为负数</t>
  </si>
  <si>
    <t>有效打码量输入0</t>
  </si>
  <si>
    <t>1、在有效打码量输入框中输入0
2、配置至少一个打码量游戏
3、点击保存按钮</t>
  </si>
  <si>
    <t>0代表不限制，提示保存成功</t>
  </si>
  <si>
    <t>有效打码量输入超长数值</t>
  </si>
  <si>
    <t>1、在有效打码量输入框中输入超过最大限制的数值（如：999999999999）
2、配置至少一个打码量游戏
3、点击保存按钮</t>
  </si>
  <si>
    <t>保存失败，提示超出最大限制或数值过大</t>
  </si>
  <si>
    <t>打码量游戏配置选择单个游戏</t>
  </si>
  <si>
    <t>1、在有效打码量输入框中输入数值：5000
2、打开打码量游戏配置组件
3、仅选择1个游戏
4、点击保存按钮</t>
  </si>
  <si>
    <t>保存成功，仅选中的游戏参与有效打码量计算</t>
  </si>
  <si>
    <t>打码量游戏配置全选与取消全选</t>
  </si>
  <si>
    <t>1、在有效打码量输入框中输入数值：10000
2、打开打码量游戏配置组件
3、点击全选
4、再次点击取消全选
5、选择部分游戏
6、点击保存按钮</t>
  </si>
  <si>
    <t>保存成功，仅选择的部分游戏参与有效打码量计算</t>
  </si>
  <si>
    <t>多语言提示-中文</t>
  </si>
  <si>
    <t>保存失败，提示： 请进行打码量游戏配置</t>
  </si>
  <si>
    <t>多语言提示-英文</t>
  </si>
  <si>
    <t>保存失败，提示：Please configure the censorship settings for the game.</t>
  </si>
  <si>
    <t>多语言提示-葡语</t>
  </si>
  <si>
    <t>保存失败，提示：Por favor, configure as definições de censura do jogo.</t>
  </si>
  <si>
    <t>有效打码量为空时游戏配置可为空</t>
  </si>
  <si>
    <t>1、在有效打码量输入框中留空
2、不配置任何打码量游戏
3、点击保存按钮</t>
  </si>
  <si>
    <t>保存成功，不限制打码量</t>
  </si>
  <si>
    <t>有效打码量最小边界值</t>
  </si>
  <si>
    <t>1、在有效打码量输入框中输入最小边界值：1
2、配置至少一个打码量游戏
3、点击保存按钮</t>
  </si>
  <si>
    <t>保存成功，打码量最小值生效</t>
  </si>
  <si>
    <t>局数限制和充值限制</t>
  </si>
  <si>
    <t>1、在局数限制输入框中输入数值：1
2、在充值限制输入框中输入数值：100
3、在有效打码量输入框中输入数值：1000
4、配置至少一个打码量游戏
5、点击保存按钮</t>
  </si>
  <si>
    <t>保存成功，页面提示保存成功
（前端验证）成功成为下级后，完成三个限制后，上级的分享宝箱成功人数+1</t>
  </si>
  <si>
    <t>佣金到账</t>
  </si>
  <si>
    <t>1、成功成为下级后，符合对应的限制条件</t>
  </si>
  <si>
    <t>佣金成功到账，前后端验证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</si>
</sst>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0"/>
      <name val="宋体"/>
      <charset val="134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29">
    <xf numFmtId="0" fontId="0" fillId="0" borderId="0" xfId="0" applyNumberFormat="1"/>
    <xf numFmtId="0" fontId="1" fillId="0" borderId="1" xfId="0" applyFont="1" applyFill="1" applyBorder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3" fillId="3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4" fillId="5" borderId="1" xfId="49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/>
    </xf>
    <xf numFmtId="14" fontId="6" fillId="5" borderId="1" xfId="49" applyNumberFormat="1" applyFont="1" applyFill="1" applyBorder="1" applyAlignment="1">
      <alignment horizontal="left" vertical="center"/>
    </xf>
    <xf numFmtId="46" fontId="4" fillId="5" borderId="1" xfId="49" applyNumberFormat="1" applyFont="1" applyFill="1" applyBorder="1" applyAlignment="1">
      <alignment horizontal="left" vertical="center"/>
    </xf>
    <xf numFmtId="0" fontId="7" fillId="5" borderId="1" xfId="49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8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0" fillId="0" borderId="4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5" xfId="0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85" zoomScaleNormal="85" workbookViewId="0">
      <selection activeCell="A1" sqref="A1:F1"/>
    </sheetView>
  </sheetViews>
  <sheetFormatPr defaultColWidth="9" defaultRowHeight="14.25"/>
  <cols>
    <col min="1" max="1" width="16.7583333333333" style="3" customWidth="1"/>
    <col min="2" max="2" width="12.2" style="3" customWidth="1"/>
    <col min="3" max="3" width="31.5" style="3" customWidth="1"/>
    <col min="4" max="4" width="40.375" style="3" customWidth="1"/>
    <col min="5" max="5" width="20.375" style="3" customWidth="1"/>
    <col min="6" max="6" width="65.625" style="3" customWidth="1"/>
    <col min="7" max="7" width="78.25" style="3" customWidth="1"/>
    <col min="8" max="8" width="9.375" style="3" customWidth="1"/>
    <col min="9" max="9" width="38.9666666666667" style="3" customWidth="1"/>
    <col min="10" max="16384" width="9" style="3"/>
  </cols>
  <sheetData>
    <row r="1" s="1" customFormat="1" ht="16.5" spans="1:10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19</v>
      </c>
      <c r="J1" s="8"/>
    </row>
    <row r="2" s="1" customFormat="1" ht="16.5" spans="1:10">
      <c r="A2" s="9" t="s">
        <v>2</v>
      </c>
      <c r="B2" s="9"/>
      <c r="C2" s="10"/>
      <c r="D2" s="10" t="s">
        <v>3</v>
      </c>
      <c r="E2" s="11" t="s">
        <v>4</v>
      </c>
      <c r="F2" s="10"/>
      <c r="G2" s="12" t="s">
        <v>5</v>
      </c>
      <c r="H2" s="12">
        <f>COUNTIF(H9:H277,"Pass")</f>
        <v>19</v>
      </c>
      <c r="J2" s="8"/>
    </row>
    <row r="3" s="1" customFormat="1" ht="16.5" spans="1:10">
      <c r="A3" s="9" t="s">
        <v>6</v>
      </c>
      <c r="B3" s="9"/>
      <c r="C3" s="13"/>
      <c r="D3" s="13"/>
      <c r="E3" s="11" t="s">
        <v>7</v>
      </c>
      <c r="F3" s="14"/>
      <c r="G3" s="15" t="s">
        <v>8</v>
      </c>
      <c r="H3" s="15">
        <f>COUNTIF(H9:H277,"Fail")</f>
        <v>0</v>
      </c>
      <c r="J3" s="8"/>
    </row>
    <row r="4" s="1" customFormat="1" ht="16.5" spans="1:10">
      <c r="A4" s="11" t="s">
        <v>9</v>
      </c>
      <c r="B4" s="11"/>
      <c r="C4" s="10"/>
      <c r="D4" s="10"/>
      <c r="E4" s="9" t="s">
        <v>10</v>
      </c>
      <c r="F4" s="16"/>
      <c r="G4" s="17" t="s">
        <v>11</v>
      </c>
      <c r="H4" s="17">
        <f>COUNTIF(H9:H277,"N/A")</f>
        <v>0</v>
      </c>
      <c r="J4" s="8"/>
    </row>
    <row r="5" s="1" customFormat="1" ht="16.5" spans="1:10">
      <c r="A5" s="9" t="s">
        <v>12</v>
      </c>
      <c r="B5" s="9"/>
      <c r="C5" s="10"/>
      <c r="D5" s="10"/>
      <c r="E5" s="11" t="s">
        <v>13</v>
      </c>
      <c r="F5" s="16"/>
      <c r="J5" s="8"/>
    </row>
    <row r="6" s="1" customFormat="1" ht="14" customHeight="1" spans="1:10">
      <c r="A6" s="2" t="s">
        <v>14</v>
      </c>
      <c r="B6" s="2"/>
      <c r="C6" s="18"/>
      <c r="D6" s="18"/>
      <c r="E6" s="18"/>
      <c r="F6" s="18"/>
      <c r="G6" s="19"/>
      <c r="J6" s="8"/>
    </row>
    <row r="7" s="1" customFormat="1" ht="13.5" spans="1:10">
      <c r="A7" s="20"/>
      <c r="B7" s="20"/>
      <c r="C7" s="1"/>
      <c r="J7" s="8"/>
    </row>
    <row r="8" s="2" customFormat="1" ht="14" customHeight="1" spans="1:1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ht="42.75" spans="1:10">
      <c r="A9" s="21">
        <v>1</v>
      </c>
      <c r="B9" s="22" t="s">
        <v>3</v>
      </c>
      <c r="C9" s="22" t="s">
        <v>24</v>
      </c>
      <c r="D9" s="21" t="s">
        <v>25</v>
      </c>
      <c r="E9" s="23" t="s">
        <v>26</v>
      </c>
      <c r="F9" s="24" t="s">
        <v>27</v>
      </c>
      <c r="G9" s="24" t="s">
        <v>28</v>
      </c>
      <c r="H9" s="25" t="s">
        <v>5</v>
      </c>
      <c r="I9" s="21"/>
    </row>
    <row r="10" ht="83" customHeight="1" spans="1:10">
      <c r="A10" s="21">
        <v>2</v>
      </c>
      <c r="B10" s="26"/>
      <c r="C10" s="26"/>
      <c r="D10" s="21" t="s">
        <v>29</v>
      </c>
      <c r="E10" s="23" t="s">
        <v>26</v>
      </c>
      <c r="F10" s="24" t="s">
        <v>30</v>
      </c>
      <c r="G10" s="24" t="s">
        <v>31</v>
      </c>
      <c r="H10" s="25" t="s">
        <v>5</v>
      </c>
      <c r="I10" s="27" t="str">
        <f>_xlfn.DISPIMG("ID_552C7B48C5D041E7AACFBBF44B19FCA1",1)</f>
        <v>=DISPIMG("ID_552C7B48C5D041E7AACFBBF44B19FCA1",1)</v>
      </c>
    </row>
    <row r="11" ht="56.75" spans="1:10">
      <c r="A11" s="21">
        <v>3</v>
      </c>
      <c r="B11" s="26"/>
      <c r="C11" s="26"/>
      <c r="D11" s="21" t="s">
        <v>32</v>
      </c>
      <c r="E11" s="23" t="s">
        <v>26</v>
      </c>
      <c r="F11" s="24" t="s">
        <v>33</v>
      </c>
      <c r="G11" s="21" t="s">
        <v>34</v>
      </c>
      <c r="H11" s="25" t="s">
        <v>5</v>
      </c>
      <c r="I11" s="21" t="str">
        <f>_xlfn.DISPIMG("ID_9A6E170161D94B8DB1091042DCB145AE",1)</f>
        <v>=DISPIMG("ID_9A6E170161D94B8DB1091042DCB145AE",1)</v>
      </c>
    </row>
    <row r="12" ht="57" spans="1:10">
      <c r="A12" s="21">
        <v>4</v>
      </c>
      <c r="B12" s="26"/>
      <c r="C12" s="26"/>
      <c r="D12" s="21" t="s">
        <v>35</v>
      </c>
      <c r="E12" s="23" t="s">
        <v>26</v>
      </c>
      <c r="F12" s="24" t="s">
        <v>36</v>
      </c>
      <c r="G12" s="21" t="s">
        <v>37</v>
      </c>
      <c r="H12" s="25" t="s">
        <v>5</v>
      </c>
      <c r="I12" s="21"/>
    </row>
    <row r="13" ht="42.75" spans="1:10">
      <c r="A13" s="21">
        <v>5</v>
      </c>
      <c r="B13" s="26"/>
      <c r="C13" s="26"/>
      <c r="D13" s="21" t="s">
        <v>38</v>
      </c>
      <c r="E13" s="23" t="s">
        <v>26</v>
      </c>
      <c r="F13" s="24" t="s">
        <v>39</v>
      </c>
      <c r="G13" s="21" t="s">
        <v>40</v>
      </c>
      <c r="H13" s="25" t="s">
        <v>5</v>
      </c>
      <c r="I13" s="21"/>
    </row>
    <row r="14" ht="42.75" spans="1:10">
      <c r="A14" s="21">
        <v>6</v>
      </c>
      <c r="B14" s="26"/>
      <c r="C14" s="26"/>
      <c r="D14" s="21" t="s">
        <v>41</v>
      </c>
      <c r="E14" s="23" t="s">
        <v>26</v>
      </c>
      <c r="F14" s="24" t="s">
        <v>42</v>
      </c>
      <c r="G14" s="21" t="s">
        <v>43</v>
      </c>
      <c r="H14" s="25" t="s">
        <v>5</v>
      </c>
      <c r="I14" s="21"/>
    </row>
    <row r="15" ht="42.75" spans="1:10">
      <c r="A15" s="21">
        <v>7</v>
      </c>
      <c r="B15" s="26"/>
      <c r="C15" s="26"/>
      <c r="D15" s="21" t="s">
        <v>44</v>
      </c>
      <c r="E15" s="23" t="s">
        <v>26</v>
      </c>
      <c r="F15" s="24" t="s">
        <v>45</v>
      </c>
      <c r="G15" s="21" t="s">
        <v>46</v>
      </c>
      <c r="H15" s="25" t="s">
        <v>5</v>
      </c>
      <c r="I15" s="21"/>
    </row>
    <row r="16" ht="42.75" spans="1:10">
      <c r="A16" s="21">
        <v>8</v>
      </c>
      <c r="B16" s="26"/>
      <c r="C16" s="26"/>
      <c r="D16" s="21" t="s">
        <v>47</v>
      </c>
      <c r="E16" s="23" t="s">
        <v>26</v>
      </c>
      <c r="F16" s="24" t="s">
        <v>48</v>
      </c>
      <c r="G16" s="21" t="s">
        <v>49</v>
      </c>
      <c r="H16" s="25" t="s">
        <v>5</v>
      </c>
      <c r="I16" s="21"/>
    </row>
    <row r="17" ht="42.75" spans="1:9">
      <c r="A17" s="21">
        <v>9</v>
      </c>
      <c r="B17" s="26"/>
      <c r="C17" s="26"/>
      <c r="D17" s="21" t="s">
        <v>50</v>
      </c>
      <c r="E17" s="23" t="s">
        <v>26</v>
      </c>
      <c r="F17" s="24" t="s">
        <v>51</v>
      </c>
      <c r="G17" s="21" t="s">
        <v>52</v>
      </c>
      <c r="H17" s="25" t="s">
        <v>5</v>
      </c>
      <c r="I17" s="21"/>
    </row>
    <row r="18" ht="42.75" spans="1:9">
      <c r="A18" s="21">
        <v>10</v>
      </c>
      <c r="B18" s="26"/>
      <c r="C18" s="26"/>
      <c r="D18" s="21" t="s">
        <v>53</v>
      </c>
      <c r="E18" s="23" t="s">
        <v>26</v>
      </c>
      <c r="F18" s="24" t="s">
        <v>54</v>
      </c>
      <c r="G18" s="21" t="s">
        <v>55</v>
      </c>
      <c r="H18" s="25" t="s">
        <v>5</v>
      </c>
      <c r="I18" s="21"/>
    </row>
    <row r="19" ht="57" spans="1:9">
      <c r="A19" s="21">
        <v>11</v>
      </c>
      <c r="B19" s="26"/>
      <c r="C19" s="26"/>
      <c r="D19" s="21" t="s">
        <v>56</v>
      </c>
      <c r="E19" s="23" t="s">
        <v>26</v>
      </c>
      <c r="F19" s="24" t="s">
        <v>57</v>
      </c>
      <c r="G19" s="21" t="s">
        <v>58</v>
      </c>
      <c r="H19" s="25" t="s">
        <v>5</v>
      </c>
      <c r="I19" s="21"/>
    </row>
    <row r="20" ht="85.5" spans="1:9">
      <c r="A20" s="21">
        <v>12</v>
      </c>
      <c r="B20" s="26"/>
      <c r="C20" s="26"/>
      <c r="D20" s="21" t="s">
        <v>59</v>
      </c>
      <c r="E20" s="23" t="s">
        <v>26</v>
      </c>
      <c r="F20" s="24" t="s">
        <v>60</v>
      </c>
      <c r="G20" s="21" t="s">
        <v>61</v>
      </c>
      <c r="H20" s="25" t="s">
        <v>5</v>
      </c>
      <c r="I20" s="21"/>
    </row>
    <row r="21" ht="42.75" spans="1:9">
      <c r="A21" s="21">
        <v>13</v>
      </c>
      <c r="B21" s="26"/>
      <c r="C21" s="26"/>
      <c r="D21" s="21" t="s">
        <v>62</v>
      </c>
      <c r="E21" s="23" t="s">
        <v>26</v>
      </c>
      <c r="F21" s="24" t="s">
        <v>33</v>
      </c>
      <c r="G21" s="21" t="s">
        <v>63</v>
      </c>
      <c r="H21" s="25" t="s">
        <v>5</v>
      </c>
      <c r="I21" s="21"/>
    </row>
    <row r="22" ht="42.75" spans="1:9">
      <c r="A22" s="21">
        <v>14</v>
      </c>
      <c r="B22" s="26"/>
      <c r="C22" s="26"/>
      <c r="D22" s="21" t="s">
        <v>64</v>
      </c>
      <c r="E22" s="23" t="s">
        <v>26</v>
      </c>
      <c r="F22" s="24" t="s">
        <v>33</v>
      </c>
      <c r="G22" s="21" t="s">
        <v>65</v>
      </c>
      <c r="H22" s="25" t="s">
        <v>5</v>
      </c>
      <c r="I22" s="21"/>
    </row>
    <row r="23" ht="42.75" spans="1:9">
      <c r="A23" s="21">
        <v>15</v>
      </c>
      <c r="B23" s="26"/>
      <c r="C23" s="26"/>
      <c r="D23" s="21" t="s">
        <v>66</v>
      </c>
      <c r="E23" s="23" t="s">
        <v>26</v>
      </c>
      <c r="F23" s="24" t="s">
        <v>33</v>
      </c>
      <c r="G23" s="21" t="s">
        <v>67</v>
      </c>
      <c r="H23" s="25" t="s">
        <v>5</v>
      </c>
      <c r="I23" s="21"/>
    </row>
    <row r="24" ht="42.75" spans="1:9">
      <c r="A24" s="21">
        <v>16</v>
      </c>
      <c r="B24" s="26"/>
      <c r="C24" s="26"/>
      <c r="D24" s="21" t="s">
        <v>68</v>
      </c>
      <c r="E24" s="23" t="s">
        <v>26</v>
      </c>
      <c r="F24" s="24" t="s">
        <v>69</v>
      </c>
      <c r="G24" s="21" t="s">
        <v>70</v>
      </c>
      <c r="H24" s="25" t="s">
        <v>5</v>
      </c>
      <c r="I24" s="21"/>
    </row>
    <row r="25" ht="42.75" spans="1:9">
      <c r="A25" s="21">
        <v>17</v>
      </c>
      <c r="B25" s="26"/>
      <c r="C25" s="26"/>
      <c r="D25" s="21" t="s">
        <v>71</v>
      </c>
      <c r="E25" s="23" t="s">
        <v>26</v>
      </c>
      <c r="F25" s="24" t="s">
        <v>72</v>
      </c>
      <c r="G25" s="21" t="s">
        <v>73</v>
      </c>
      <c r="H25" s="25" t="s">
        <v>5</v>
      </c>
      <c r="I25" s="21"/>
    </row>
    <row r="26" ht="71.25" spans="1:9">
      <c r="A26" s="21">
        <v>18</v>
      </c>
      <c r="B26" s="26"/>
      <c r="C26" s="26"/>
      <c r="D26" s="21" t="s">
        <v>74</v>
      </c>
      <c r="E26" s="23" t="s">
        <v>26</v>
      </c>
      <c r="F26" s="24" t="s">
        <v>75</v>
      </c>
      <c r="G26" s="24" t="s">
        <v>76</v>
      </c>
      <c r="H26" s="25" t="s">
        <v>5</v>
      </c>
      <c r="I26" s="21"/>
    </row>
    <row r="27" ht="55" spans="1:9">
      <c r="A27" s="21">
        <v>19</v>
      </c>
      <c r="B27" s="28"/>
      <c r="C27" s="28"/>
      <c r="D27" s="21" t="s">
        <v>77</v>
      </c>
      <c r="E27" s="23" t="s">
        <v>26</v>
      </c>
      <c r="F27" s="24" t="s">
        <v>78</v>
      </c>
      <c r="G27" s="24" t="s">
        <v>79</v>
      </c>
      <c r="H27" s="25" t="s">
        <v>5</v>
      </c>
      <c r="I27" t="str">
        <f>_xlfn.DISPIMG("ID_700AF2E4060B41FE9489BF801163EBFF",1)</f>
        <v>=DISPIMG("ID_700AF2E4060B41FE9489BF801163EBFF",1)</v>
      </c>
    </row>
  </sheetData>
  <mergeCells count="4">
    <mergeCell ref="A1:F1"/>
    <mergeCell ref="C6:F6"/>
    <mergeCell ref="B9:B27"/>
    <mergeCell ref="C9:C27"/>
  </mergeCells>
  <conditionalFormatting sqref="H9:H27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dataValidations count="1">
    <dataValidation type="list" allowBlank="1" showInputMessage="1" showErrorMessage="1" sqref="H9:H27">
      <formula1>$G$2:$G$4</formula1>
    </dataValidation>
  </dataValidations>
  <pageMargins left="0.75" right="0.75" top="1" bottom="1" header="0.5" footer="0.5"/>
  <headerFooter/>
  <ignoredErrors>
    <ignoredError sqref="A8:I8 A9:A24 C9:D9 D10:D25 G11:G16 G18:G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全民代分享好礼优化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</cp:lastModifiedBy>
  <dcterms:created xsi:type="dcterms:W3CDTF">2026-02-27T09:13:35Z</dcterms:created>
  <dcterms:modified xsi:type="dcterms:W3CDTF">2026-02-27T10:10:30Z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EB66634DB0EE4A7EABDDC4A5DE445D75_12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