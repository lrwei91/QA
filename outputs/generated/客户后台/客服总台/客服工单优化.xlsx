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/>
  <xr:revisionPtr revIDLastSave="1" documentId="11_70716194B8FA98A1CB123E8A9E228EF99DFBBADB" xr6:coauthVersionLast="47" xr6:coauthVersionMax="47" xr10:uidLastSave="{1BE0D84A-F6C6-4F8D-B2A1-8D86941F24CE}"/>
  <bookViews>
    <workbookView xWindow="0" yWindow="0" windowWidth="27945" windowHeight="12375" xr2:uid="{00000000-000D-0000-FFFF-FFFF00000000}"/>
  </bookViews>
  <sheets>
    <sheet name="客服工单优化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/>
</calcChain>
</file>

<file path=xl/sharedStrings.xml><?xml version="1.0" encoding="utf-8"?>
<sst xmlns="http://schemas.openxmlformats.org/spreadsheetml/2006/main" count="57" uniqueCount="44">
  <si>
    <t xml:space="preserve"> 客服工单优化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</si>
  <si>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</si>
  <si>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</si>
  <si>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</si>
  <si>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</si>
  <si>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</si>
  <si>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</si>
  <si>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</si>
  <si>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</si>
  <si>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</si>
  <si>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</si>
  <si>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</si>
  <si>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</si>
  <si>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</si>
  <si>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</si>
  <si>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</si>
  <si>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</si>
  <si>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</si>
  <si>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</si>
  <si>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</si>
  <si>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</si>
  <si>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</si>
  <si>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</si>
  <si>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</t>
  </si>
  <si>
    <t>工单信息</t>
  </si>
  <si>
    <t>分页默认按更新时间倒序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</si>
  <si>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账号拥有工单信息页面访问权限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工单信息存在多条分页数据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</si>
  <si>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登录账服后台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进入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工单信息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页面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查看分页数据的排序依据</t>
    </r>
  </si>
  <si>
    <t>分页数据默认按更新时间倒序展示</t>
  </si>
  <si>
    <t>pass</t>
  </si>
  <si>
    <r>
      <rPr>
        <sz val="12"/>
        <color rgb="FF000000"/>
        <rFont val="宋体"/>
        <charset val="134"/>
      </rPr>
      <t>最新回复时间筛选项默认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请选择</t>
    </r>
    <r>
      <rPr>
        <sz val="12"/>
        <color rgb="FF000000"/>
        <rFont val="Segoe UI"/>
        <charset val="134"/>
      </rPr>
      <t>”</t>
    </r>
  </si>
  <si>
    <t>账号可进入工单信息页面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</si>
  <si>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登录账服后台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进入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工单信息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页面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查看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最新回复时间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筛选项的默认选中项</t>
    </r>
  </si>
  <si>
    <r>
      <rPr>
        <sz val="12"/>
        <color rgb="FF000000"/>
        <rFont val="Segoe UI"/>
        <charset val="134"/>
      </rPr>
      <t>“</t>
    </r>
    <r>
      <rPr>
        <sz val="12"/>
        <color rgb="FF000000"/>
        <rFont val="宋体"/>
        <charset val="134"/>
      </rPr>
      <t>最新回复时间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筛选项默认显示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请选择</t>
    </r>
    <r>
      <rPr>
        <sz val="12"/>
        <color rgb="FF000000"/>
        <rFont val="Segoe UI"/>
        <charset val="134"/>
      </rPr>
      <t>”</t>
    </r>
  </si>
  <si>
    <t>玩家回复后已解决工单状态回退为待处理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</si>
  <si>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存在一个已被客服改为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已解决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状态的工单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客户前端账号可访问该工单并发送消息</t>
    </r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</si>
  <si>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账服后台确认该工单当前状态为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已解决</t>
    </r>
    <r>
      <rPr>
        <sz val="12"/>
        <color rgb="FF000000"/>
        <rFont val="Segoe UI"/>
        <charset val="134"/>
      </rPr>
      <t xml:space="preserve">”
2. </t>
    </r>
    <r>
      <rPr>
        <sz val="12"/>
        <color rgb="FF000000"/>
        <rFont val="宋体"/>
        <charset val="134"/>
      </rPr>
      <t>玩家在前端打开该工单，输入内容并发送回复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账服后台刷新工单信息页面，查看该工单的状态及分类</t>
    </r>
  </si>
  <si>
    <t>1. 工单状态从 “已解决” 变为 “待处理”
2. 该工单出现在 “待处理” 分类下</t>
  </si>
  <si>
    <t>客服总台</t>
  </si>
  <si>
    <t>1. 客服总台拥有工单信息页面访问权限
2. 工单信息存在多条分页数据</t>
  </si>
  <si>
    <t>1. 登录客服总台
2. 进入 “工单信息” 页面
3. 查看分页数据的排序依据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</si>
  <si>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登录客服总台</t>
    </r>
    <r>
      <rPr>
        <sz val="12"/>
        <color rgb="FF000000"/>
        <rFont val="Segoe UI"/>
        <charset val="134"/>
      </rPr>
      <t xml:space="preserve">
2. </t>
    </r>
    <r>
      <rPr>
        <sz val="12"/>
        <color rgb="FF000000"/>
        <rFont val="宋体"/>
        <charset val="134"/>
      </rPr>
      <t>进入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工单信息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页面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查看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最新回复时间</t>
    </r>
    <r>
      <rPr>
        <sz val="12"/>
        <color rgb="FF000000"/>
        <rFont val="Segoe UI"/>
        <charset val="134"/>
      </rPr>
      <t xml:space="preserve">” </t>
    </r>
    <r>
      <rPr>
        <sz val="12"/>
        <color rgb="FF000000"/>
        <rFont val="宋体"/>
        <charset val="134"/>
      </rPr>
      <t>筛选项的默认选中项</t>
    </r>
  </si>
  <si>
    <t>1. 存在一个已被客服改为 “已解决” 状态的工单
2. 客户前端账号可访问该工单并发送消息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</si>
  <si>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客服总台确认该工单当前状态为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已解决</t>
    </r>
    <r>
      <rPr>
        <sz val="12"/>
        <color rgb="FF000000"/>
        <rFont val="Segoe UI"/>
        <charset val="134"/>
      </rPr>
      <t xml:space="preserve">”
2. </t>
    </r>
    <r>
      <rPr>
        <sz val="12"/>
        <color rgb="FF000000"/>
        <rFont val="宋体"/>
        <charset val="134"/>
      </rPr>
      <t>玩家在前端打开该工单，输入内容并发送回复</t>
    </r>
    <r>
      <rPr>
        <sz val="12"/>
        <color rgb="FF000000"/>
        <rFont val="Segoe UI"/>
        <charset val="134"/>
      </rPr>
      <t xml:space="preserve">
3. </t>
    </r>
    <r>
      <rPr>
        <sz val="12"/>
        <color rgb="FF000000"/>
        <rFont val="宋体"/>
        <charset val="134"/>
      </rPr>
      <t>客服总台刷新工单信息页面，查看该工单的状态及分类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</si>
</sst>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1" applyNumberFormat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1" applyNumberFormat="1" applyFont="1" applyFill="1" applyBorder="1" applyAlignment="1">
      <alignment horizontal="left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4" fontId="4" fillId="4" borderId="4" xfId="1" applyNumberFormat="1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left" vertical="center" wrapText="1"/>
    </xf>
    <xf numFmtId="0" fontId="11" fillId="7" borderId="10" xfId="0" applyFont="1" applyFill="1" applyBorder="1" applyAlignment="1">
      <alignment horizontal="left" vertical="center" wrapText="1"/>
    </xf>
    <xf numFmtId="0" fontId="11" fillId="7" borderId="6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2" fillId="0" borderId="9" xfId="0" applyFont="1" applyFill="1" applyBorder="1" applyAlignment="1">
      <alignment horizontal="left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</cellXfs>
  <cellStyles count="2">
    <cellStyle name="常规" xfId="0" builtinId="0"/>
    <cellStyle name="一般 10" xfId="1" xr:uid="{00000000-0005-0000-0000-000031000000}"/>
  </cellStyles>
  <dxfs count="150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789940</xdr:colOff>
      <xdr:row>7</xdr:row>
      <xdr:rowOff>408940</xdr:rowOff>
    </xdr:from>
    <xdr:to>
      <xdr:col>8</xdr:col>
      <xdr:colOff>1914525</xdr:colOff>
      <xdr:row>9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88015" y="1790065"/>
          <a:ext cx="1124585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728980</xdr:colOff>
      <xdr:row>10</xdr:row>
      <xdr:rowOff>260985</xdr:rowOff>
    </xdr:from>
    <xdr:to>
      <xdr:col>8</xdr:col>
      <xdr:colOff>2247900</xdr:colOff>
      <xdr:row>12</xdr:row>
      <xdr:rowOff>79375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27055" y="2975610"/>
          <a:ext cx="1518920" cy="707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141605</xdr:colOff>
      <xdr:row>13</xdr:row>
      <xdr:rowOff>320040</xdr:rowOff>
    </xdr:from>
    <xdr:to>
      <xdr:col>8</xdr:col>
      <xdr:colOff>724535</xdr:colOff>
      <xdr:row>14</xdr:row>
      <xdr:rowOff>292735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39680" y="4368165"/>
          <a:ext cx="582930" cy="417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835025</xdr:colOff>
      <xdr:row>13</xdr:row>
      <xdr:rowOff>342265</xdr:rowOff>
    </xdr:from>
    <xdr:to>
      <xdr:col>8</xdr:col>
      <xdr:colOff>1295400</xdr:colOff>
      <xdr:row>14</xdr:row>
      <xdr:rowOff>396875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533100" y="4390390"/>
          <a:ext cx="460375" cy="49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1632585</xdr:colOff>
      <xdr:row>13</xdr:row>
      <xdr:rowOff>377825</xdr:rowOff>
    </xdr:from>
    <xdr:to>
      <xdr:col>8</xdr:col>
      <xdr:colOff>2314575</xdr:colOff>
      <xdr:row>14</xdr:row>
      <xdr:rowOff>377825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30660" y="4425950"/>
          <a:ext cx="681990" cy="44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546100</xdr:colOff>
      <xdr:row>16</xdr:row>
      <xdr:rowOff>806450</xdr:rowOff>
    </xdr:from>
    <xdr:to>
      <xdr:col>8</xdr:col>
      <xdr:colOff>2152650</xdr:colOff>
      <xdr:row>17</xdr:row>
      <xdr:rowOff>539750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244175" y="6188075"/>
          <a:ext cx="1606550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1034415</xdr:colOff>
      <xdr:row>19</xdr:row>
      <xdr:rowOff>34290</xdr:rowOff>
    </xdr:from>
    <xdr:to>
      <xdr:col>8</xdr:col>
      <xdr:colOff>1819275</xdr:colOff>
      <xdr:row>20</xdr:row>
      <xdr:rowOff>158750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732490" y="7587615"/>
          <a:ext cx="784860" cy="568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170180</xdr:colOff>
      <xdr:row>21</xdr:row>
      <xdr:rowOff>362585</xdr:rowOff>
    </xdr:from>
    <xdr:to>
      <xdr:col>8</xdr:col>
      <xdr:colOff>923925</xdr:colOff>
      <xdr:row>22</xdr:row>
      <xdr:rowOff>260350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8255" y="8804910"/>
          <a:ext cx="753745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1189990</xdr:colOff>
      <xdr:row>21</xdr:row>
      <xdr:rowOff>289560</xdr:rowOff>
    </xdr:from>
    <xdr:to>
      <xdr:col>8</xdr:col>
      <xdr:colOff>1755140</xdr:colOff>
      <xdr:row>22</xdr:row>
      <xdr:rowOff>333375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888065" y="8731885"/>
          <a:ext cx="565150" cy="48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1904365</xdr:colOff>
      <xdr:row>22</xdr:row>
      <xdr:rowOff>14605</xdr:rowOff>
    </xdr:from>
    <xdr:to>
      <xdr:col>8</xdr:col>
      <xdr:colOff>2428875</xdr:colOff>
      <xdr:row>22</xdr:row>
      <xdr:rowOff>285750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602440" y="8901430"/>
          <a:ext cx="524510" cy="2711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topLeftCell="E1" workbookViewId="0">
      <pane ySplit="7" topLeftCell="B8" activePane="bottomLeft" state="frozen"/>
      <selection pane="bottomLeft" activeCell="G14" sqref="G14:G16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pans="1:9" ht="16.5" customHeight="1">
      <c r="A1" s="34" t="s">
        <v>0</v>
      </c>
      <c r="B1" s="35"/>
      <c r="C1" s="35"/>
      <c r="D1" s="35"/>
      <c r="E1" s="35"/>
      <c r="F1" s="35"/>
      <c r="G1" s="3" t="s">
        <v>1</v>
      </c>
      <c r="H1" s="4">
        <f>H2+H3+H4</f>
        <v>6</v>
      </c>
      <c r="I1" s="5"/>
    </row>
    <row r="2" spans="1:9" ht="14.25" customHeight="1">
      <c r="A2" s="6" t="s">
        <v>2</v>
      </c>
      <c r="B2" s="7"/>
      <c r="C2" s="36"/>
      <c r="D2" s="36"/>
      <c r="E2" s="8" t="s">
        <v>3</v>
      </c>
      <c r="F2" s="9">
        <v>46013</v>
      </c>
      <c r="G2" s="10" t="s">
        <v>4</v>
      </c>
      <c r="H2" s="11">
        <f>COUNTIF(H8:H238,"Pass")</f>
        <v>6</v>
      </c>
      <c r="I2" s="5"/>
    </row>
    <row r="3" spans="1:9" ht="16.5" customHeight="1">
      <c r="A3" s="12" t="s">
        <v>5</v>
      </c>
      <c r="B3" s="7"/>
      <c r="C3" s="36"/>
      <c r="D3" s="36"/>
      <c r="E3" s="13" t="s">
        <v>6</v>
      </c>
      <c r="F3" s="14"/>
      <c r="G3" s="15" t="s">
        <v>7</v>
      </c>
      <c r="H3" s="16">
        <f>COUNTIF(H8:H238,"Fail")</f>
        <v>0</v>
      </c>
      <c r="I3" s="5"/>
    </row>
    <row r="4" spans="1:9" ht="16.5" customHeight="1">
      <c r="A4" s="17" t="s">
        <v>8</v>
      </c>
      <c r="B4" s="18"/>
      <c r="C4" s="36"/>
      <c r="D4" s="36"/>
      <c r="E4" s="19" t="s">
        <v>9</v>
      </c>
      <c r="F4" s="20"/>
      <c r="G4" s="21" t="s">
        <v>10</v>
      </c>
      <c r="H4" s="22">
        <f>COUNTIF(H8:H238,"N/A")</f>
        <v>0</v>
      </c>
      <c r="I4" s="5"/>
    </row>
    <row r="5" spans="1:9" ht="16.5" customHeight="1">
      <c r="A5" s="12" t="s">
        <v>11</v>
      </c>
      <c r="B5" s="7"/>
      <c r="C5" s="36"/>
      <c r="D5" s="36"/>
      <c r="E5" s="13" t="s">
        <v>12</v>
      </c>
      <c r="F5" s="23"/>
      <c r="G5" s="5"/>
      <c r="H5" s="24"/>
      <c r="I5" s="5"/>
    </row>
    <row r="6" spans="1:9">
      <c r="A6" s="25" t="s">
        <v>13</v>
      </c>
      <c r="B6" s="26"/>
      <c r="C6" s="37"/>
      <c r="D6" s="38"/>
      <c r="E6" s="39"/>
      <c r="F6" s="39"/>
      <c r="G6" s="27"/>
      <c r="H6" s="24"/>
      <c r="I6" s="5"/>
    </row>
    <row r="7" spans="1:9">
      <c r="A7" s="28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8" t="s">
        <v>19</v>
      </c>
      <c r="G7" s="28" t="s">
        <v>20</v>
      </c>
      <c r="H7" s="28" t="s">
        <v>21</v>
      </c>
      <c r="I7" s="28" t="s">
        <v>22</v>
      </c>
    </row>
    <row r="8" spans="1:9" ht="35.1" customHeight="1">
      <c r="A8" s="40">
        <v>1</v>
      </c>
      <c r="B8" s="44" t="s">
        <v>23</v>
      </c>
      <c r="C8" s="44" t="s">
        <v>24</v>
      </c>
      <c r="D8" s="47" t="s">
        <v>25</v>
      </c>
      <c r="E8" s="49" t="s">
        <v>26</v>
      </c>
      <c r="F8" s="49" t="s">
        <v>27</v>
      </c>
      <c r="G8" s="47" t="s">
        <v>28</v>
      </c>
      <c r="H8" s="48" t="s">
        <v>29</v>
      </c>
      <c r="I8" s="60"/>
    </row>
    <row r="9" spans="1:9" ht="35.1" customHeight="1">
      <c r="A9" s="40"/>
      <c r="B9" s="45"/>
      <c r="C9" s="45"/>
      <c r="D9" s="48"/>
      <c r="E9" s="50"/>
      <c r="F9" s="50"/>
      <c r="G9" s="48"/>
      <c r="H9" s="48"/>
      <c r="I9" s="61"/>
    </row>
    <row r="10" spans="1:9" ht="35.1" customHeight="1">
      <c r="A10" s="40"/>
      <c r="B10" s="45"/>
      <c r="C10" s="45"/>
      <c r="D10" s="48"/>
      <c r="E10" s="51"/>
      <c r="F10" s="51"/>
      <c r="G10" s="48"/>
      <c r="H10" s="48"/>
      <c r="I10" s="62"/>
    </row>
    <row r="11" spans="1:9" ht="35.1" customHeight="1">
      <c r="A11" s="40">
        <v>2</v>
      </c>
      <c r="B11" s="45"/>
      <c r="C11" s="45"/>
      <c r="D11" s="47" t="s">
        <v>30</v>
      </c>
      <c r="E11" s="52" t="s">
        <v>31</v>
      </c>
      <c r="F11" s="49" t="s">
        <v>32</v>
      </c>
      <c r="G11" s="48" t="s">
        <v>33</v>
      </c>
      <c r="H11" s="48" t="s">
        <v>29</v>
      </c>
      <c r="I11" s="60"/>
    </row>
    <row r="12" spans="1:9" ht="35.1" customHeight="1">
      <c r="A12" s="40"/>
      <c r="B12" s="45"/>
      <c r="C12" s="45"/>
      <c r="D12" s="48"/>
      <c r="E12" s="53"/>
      <c r="F12" s="50"/>
      <c r="G12" s="48"/>
      <c r="H12" s="48"/>
      <c r="I12" s="61"/>
    </row>
    <row r="13" spans="1:9" ht="35.1" customHeight="1">
      <c r="A13" s="40"/>
      <c r="B13" s="45"/>
      <c r="C13" s="45"/>
      <c r="D13" s="48"/>
      <c r="E13" s="53"/>
      <c r="F13" s="51"/>
      <c r="G13" s="48"/>
      <c r="H13" s="48"/>
      <c r="I13" s="62"/>
    </row>
    <row r="14" spans="1:9" ht="35.1" customHeight="1">
      <c r="A14" s="40">
        <v>3</v>
      </c>
      <c r="B14" s="45"/>
      <c r="C14" s="45"/>
      <c r="D14" s="47" t="s">
        <v>34</v>
      </c>
      <c r="E14" s="49" t="s">
        <v>35</v>
      </c>
      <c r="F14" s="49" t="s">
        <v>36</v>
      </c>
      <c r="G14" s="49" t="s">
        <v>37</v>
      </c>
      <c r="H14" s="57" t="s">
        <v>29</v>
      </c>
      <c r="I14" s="63"/>
    </row>
    <row r="15" spans="1:9" ht="35.1" customHeight="1">
      <c r="A15" s="40"/>
      <c r="B15" s="45"/>
      <c r="C15" s="45"/>
      <c r="D15" s="48"/>
      <c r="E15" s="50"/>
      <c r="F15" s="50"/>
      <c r="G15" s="50"/>
      <c r="H15" s="58"/>
      <c r="I15" s="54"/>
    </row>
    <row r="16" spans="1:9" ht="35.1" customHeight="1">
      <c r="A16" s="40"/>
      <c r="B16" s="46"/>
      <c r="C16" s="46"/>
      <c r="D16" s="48"/>
      <c r="E16" s="51"/>
      <c r="F16" s="51"/>
      <c r="G16" s="51"/>
      <c r="H16" s="59"/>
      <c r="I16" s="56"/>
    </row>
    <row r="17" spans="1:9" ht="69.95" customHeight="1">
      <c r="A17" s="41">
        <v>4</v>
      </c>
      <c r="B17" s="44" t="s">
        <v>38</v>
      </c>
      <c r="C17" s="44" t="s">
        <v>24</v>
      </c>
      <c r="D17" s="47" t="s">
        <v>25</v>
      </c>
      <c r="E17" s="54" t="s">
        <v>39</v>
      </c>
      <c r="F17" s="54" t="s">
        <v>40</v>
      </c>
      <c r="G17" s="47" t="s">
        <v>28</v>
      </c>
      <c r="H17" s="57" t="s">
        <v>29</v>
      </c>
      <c r="I17" s="64"/>
    </row>
    <row r="18" spans="1:9" ht="66" customHeight="1">
      <c r="A18" s="42"/>
      <c r="B18" s="45"/>
      <c r="C18" s="45"/>
      <c r="D18" s="48"/>
      <c r="E18" s="54"/>
      <c r="F18" s="54"/>
      <c r="G18" s="48"/>
      <c r="H18" s="58"/>
      <c r="I18" s="65"/>
    </row>
    <row r="19" spans="1:9" ht="35.1" customHeight="1">
      <c r="A19" s="43">
        <v>5</v>
      </c>
      <c r="B19" s="45"/>
      <c r="C19" s="45"/>
      <c r="D19" s="47" t="s">
        <v>30</v>
      </c>
      <c r="E19" s="55" t="s">
        <v>31</v>
      </c>
      <c r="F19" s="49" t="s">
        <v>41</v>
      </c>
      <c r="G19" s="48" t="s">
        <v>33</v>
      </c>
      <c r="H19" s="57" t="s">
        <v>29</v>
      </c>
      <c r="I19" s="64"/>
    </row>
    <row r="20" spans="1:9" ht="35.1" customHeight="1">
      <c r="A20" s="41"/>
      <c r="B20" s="45"/>
      <c r="C20" s="45"/>
      <c r="D20" s="48"/>
      <c r="E20" s="55"/>
      <c r="F20" s="50"/>
      <c r="G20" s="48"/>
      <c r="H20" s="58"/>
      <c r="I20" s="65"/>
    </row>
    <row r="21" spans="1:9" ht="35.1" customHeight="1">
      <c r="A21" s="42"/>
      <c r="B21" s="45"/>
      <c r="C21" s="45"/>
      <c r="D21" s="48"/>
      <c r="E21" s="55"/>
      <c r="F21" s="51"/>
      <c r="G21" s="48"/>
      <c r="H21" s="59"/>
      <c r="I21" s="66"/>
    </row>
    <row r="22" spans="1:9" ht="35.1" customHeight="1">
      <c r="A22" s="43">
        <v>6</v>
      </c>
      <c r="B22" s="45"/>
      <c r="C22" s="45"/>
      <c r="D22" s="47" t="s">
        <v>34</v>
      </c>
      <c r="E22" s="54" t="s">
        <v>42</v>
      </c>
      <c r="F22" s="49" t="s">
        <v>43</v>
      </c>
      <c r="G22" s="49" t="s">
        <v>37</v>
      </c>
      <c r="H22" s="57" t="s">
        <v>29</v>
      </c>
      <c r="I22" s="64"/>
    </row>
    <row r="23" spans="1:9" ht="35.1" customHeight="1">
      <c r="A23" s="41"/>
      <c r="B23" s="45"/>
      <c r="C23" s="45"/>
      <c r="D23" s="48"/>
      <c r="E23" s="54"/>
      <c r="F23" s="50"/>
      <c r="G23" s="50"/>
      <c r="H23" s="58"/>
      <c r="I23" s="65"/>
    </row>
    <row r="24" spans="1:9" ht="35.1" customHeight="1">
      <c r="A24" s="42"/>
      <c r="B24" s="46"/>
      <c r="C24" s="46"/>
      <c r="D24" s="48"/>
      <c r="E24" s="56"/>
      <c r="F24" s="51"/>
      <c r="G24" s="51"/>
      <c r="H24" s="59"/>
      <c r="I24" s="66"/>
    </row>
    <row r="25" spans="1:9" ht="35.1" customHeight="1">
      <c r="A25" s="31"/>
      <c r="B25" s="32"/>
      <c r="C25" s="29"/>
      <c r="D25" s="29"/>
      <c r="E25" s="29"/>
      <c r="F25" s="29"/>
      <c r="G25" s="29"/>
      <c r="H25" s="33"/>
      <c r="I25" s="30"/>
    </row>
    <row r="26" spans="1:9" ht="35.1" customHeight="1">
      <c r="A26" s="31"/>
      <c r="B26" s="32"/>
      <c r="C26" s="29"/>
      <c r="D26" s="29"/>
      <c r="E26" s="29"/>
      <c r="F26" s="29"/>
      <c r="G26" s="29"/>
      <c r="H26" s="33"/>
      <c r="I26" s="30"/>
    </row>
    <row r="27" spans="1:9" ht="35.1" customHeight="1">
      <c r="A27" s="31"/>
      <c r="B27" s="32"/>
      <c r="C27" s="29"/>
      <c r="D27" s="29"/>
      <c r="E27" s="29"/>
      <c r="F27" s="29"/>
      <c r="G27" s="29"/>
      <c r="H27" s="33"/>
      <c r="I27" s="30"/>
    </row>
    <row r="28" spans="1:9" ht="35.1" customHeight="1">
      <c r="A28" s="31"/>
      <c r="B28" s="32"/>
      <c r="C28" s="29"/>
      <c r="D28" s="29"/>
      <c r="E28" s="29"/>
      <c r="F28" s="29"/>
      <c r="G28" s="29"/>
      <c r="H28" s="33"/>
      <c r="I28" s="30"/>
    </row>
    <row r="29" spans="1:9" ht="35.1" customHeight="1">
      <c r="A29" s="31"/>
      <c r="B29" s="32"/>
      <c r="C29" s="29"/>
      <c r="D29" s="29"/>
      <c r="E29" s="29"/>
      <c r="F29" s="29"/>
      <c r="G29" s="29"/>
      <c r="H29" s="33"/>
      <c r="I29" s="30"/>
    </row>
    <row r="30" spans="1:9" ht="35.1" customHeight="1">
      <c r="A30" s="31"/>
      <c r="B30" s="32"/>
      <c r="C30" s="29"/>
      <c r="D30" s="29"/>
      <c r="E30" s="29"/>
      <c r="F30" s="29"/>
      <c r="G30" s="29"/>
      <c r="H30" s="33"/>
      <c r="I30" s="30"/>
    </row>
    <row r="31" spans="1:9" ht="35.1" customHeight="1">
      <c r="A31" s="31"/>
      <c r="B31" s="32"/>
      <c r="C31" s="29"/>
      <c r="D31" s="29"/>
      <c r="E31" s="29"/>
      <c r="F31" s="29"/>
      <c r="G31" s="29"/>
      <c r="H31" s="33"/>
      <c r="I31" s="30"/>
    </row>
    <row r="32" spans="1:9" ht="35.1" customHeight="1">
      <c r="A32" s="31"/>
      <c r="B32" s="32"/>
      <c r="C32" s="29"/>
      <c r="D32" s="29"/>
      <c r="E32" s="29"/>
      <c r="F32" s="29"/>
      <c r="G32" s="29"/>
      <c r="H32" s="33"/>
      <c r="I32" s="30"/>
    </row>
    <row r="33" spans="1:9" ht="35.1" customHeight="1">
      <c r="A33" s="31"/>
      <c r="B33" s="32"/>
      <c r="C33" s="29"/>
      <c r="D33" s="29"/>
      <c r="E33" s="29"/>
      <c r="F33" s="29"/>
      <c r="G33" s="29"/>
      <c r="H33" s="33"/>
      <c r="I33" s="30"/>
    </row>
    <row r="34" spans="1:9" ht="35.1" customHeight="1">
      <c r="A34" s="31"/>
      <c r="B34" s="32"/>
      <c r="C34" s="29"/>
      <c r="D34" s="29"/>
      <c r="E34" s="29"/>
      <c r="F34" s="29"/>
      <c r="G34" s="29"/>
      <c r="H34" s="33"/>
      <c r="I34" s="30"/>
    </row>
    <row r="35" spans="1:9" ht="35.1" customHeight="1">
      <c r="A35" s="31"/>
      <c r="B35" s="32"/>
      <c r="C35" s="29"/>
      <c r="D35" s="29"/>
      <c r="E35" s="29"/>
      <c r="F35" s="29"/>
      <c r="G35" s="29"/>
      <c r="H35" s="33"/>
      <c r="I35" s="30"/>
    </row>
    <row r="36" spans="1:9" ht="35.1" customHeight="1">
      <c r="A36" s="31"/>
      <c r="B36" s="32"/>
      <c r="C36" s="29"/>
      <c r="D36" s="29"/>
      <c r="E36" s="29"/>
      <c r="F36" s="29"/>
      <c r="G36" s="29"/>
      <c r="H36" s="33"/>
      <c r="I36" s="30"/>
    </row>
    <row r="37" spans="1:9" ht="35.1" customHeight="1">
      <c r="A37" s="31"/>
      <c r="B37" s="32"/>
      <c r="C37" s="29"/>
      <c r="D37" s="29"/>
      <c r="E37" s="29"/>
      <c r="F37" s="29"/>
      <c r="G37" s="29"/>
      <c r="H37" s="33"/>
      <c r="I37" s="30"/>
    </row>
    <row r="38" spans="1:9" ht="35.1" customHeight="1">
      <c r="A38" s="31"/>
      <c r="B38" s="32"/>
      <c r="C38" s="29"/>
      <c r="D38" s="29"/>
      <c r="E38" s="29"/>
      <c r="F38" s="29"/>
      <c r="G38" s="29"/>
      <c r="H38" s="33"/>
      <c r="I38" s="30"/>
    </row>
    <row r="39" spans="1:9" ht="35.1" customHeight="1">
      <c r="A39" s="31"/>
      <c r="B39" s="32"/>
      <c r="C39" s="29"/>
      <c r="D39" s="29"/>
      <c r="E39" s="29"/>
      <c r="F39" s="29"/>
      <c r="G39" s="29"/>
      <c r="H39" s="33"/>
      <c r="I39" s="30"/>
    </row>
    <row r="40" spans="1:9" ht="35.1" customHeight="1">
      <c r="A40" s="31"/>
      <c r="B40" s="32"/>
      <c r="C40" s="29"/>
      <c r="D40" s="29"/>
      <c r="E40" s="29"/>
      <c r="F40" s="29"/>
      <c r="G40" s="29"/>
      <c r="H40" s="33"/>
      <c r="I40" s="30"/>
    </row>
    <row r="41" spans="1:9" ht="35.1" customHeight="1">
      <c r="A41" s="31"/>
      <c r="B41" s="32"/>
      <c r="C41" s="29"/>
      <c r="D41" s="29"/>
      <c r="E41" s="29"/>
      <c r="F41" s="29"/>
      <c r="G41" s="29"/>
      <c r="H41" s="33"/>
      <c r="I41" s="30"/>
    </row>
    <row r="42" spans="1:9" ht="35.1" customHeight="1">
      <c r="A42" s="31"/>
      <c r="B42" s="32"/>
      <c r="C42" s="29"/>
      <c r="D42" s="29"/>
      <c r="E42" s="29"/>
      <c r="F42" s="29"/>
      <c r="G42" s="29"/>
      <c r="H42" s="33"/>
      <c r="I42" s="30"/>
    </row>
    <row r="43" spans="1:9" ht="35.1" customHeight="1">
      <c r="A43" s="31"/>
      <c r="B43" s="32"/>
      <c r="C43" s="29"/>
      <c r="D43" s="29"/>
      <c r="E43" s="29"/>
      <c r="F43" s="29"/>
      <c r="G43" s="29"/>
      <c r="H43" s="33"/>
      <c r="I43" s="30"/>
    </row>
    <row r="44" spans="1:9" ht="35.1" customHeight="1">
      <c r="A44" s="31"/>
      <c r="B44" s="32"/>
      <c r="C44" s="29"/>
      <c r="D44" s="29"/>
      <c r="E44" s="29"/>
      <c r="F44" s="29"/>
      <c r="G44" s="29"/>
      <c r="H44" s="33"/>
      <c r="I44" s="30"/>
    </row>
    <row r="45" spans="1:9" ht="35.1" customHeight="1">
      <c r="A45" s="31"/>
      <c r="B45" s="32"/>
      <c r="C45" s="29"/>
      <c r="D45" s="29"/>
      <c r="E45" s="29"/>
      <c r="F45" s="29"/>
      <c r="G45" s="29"/>
      <c r="H45" s="33"/>
      <c r="I45" s="30"/>
    </row>
    <row r="46" spans="1:9" ht="35.1" customHeight="1">
      <c r="A46" s="31"/>
      <c r="B46" s="32"/>
      <c r="C46" s="29"/>
      <c r="D46" s="29"/>
      <c r="E46" s="29"/>
      <c r="F46" s="29"/>
      <c r="G46" s="29"/>
      <c r="H46" s="33"/>
      <c r="I46" s="30"/>
    </row>
    <row r="47" spans="1:9" ht="35.1" customHeight="1">
      <c r="A47" s="31"/>
      <c r="B47" s="32"/>
      <c r="C47" s="29"/>
      <c r="D47" s="29"/>
      <c r="E47" s="29"/>
      <c r="F47" s="29"/>
      <c r="G47" s="29"/>
      <c r="H47" s="33"/>
      <c r="I47" s="30"/>
    </row>
    <row r="48" spans="1:9" ht="35.1" customHeight="1">
      <c r="A48" s="31"/>
      <c r="B48" s="32"/>
      <c r="C48" s="29"/>
      <c r="D48" s="29"/>
      <c r="E48" s="29"/>
      <c r="F48" s="29"/>
      <c r="G48" s="29"/>
      <c r="H48" s="33"/>
      <c r="I48" s="30"/>
    </row>
    <row r="49" spans="1:9" ht="35.1" customHeight="1">
      <c r="A49" s="31"/>
      <c r="B49" s="32"/>
      <c r="C49" s="29"/>
      <c r="D49" s="29"/>
      <c r="E49" s="29"/>
      <c r="F49" s="29"/>
      <c r="G49" s="29"/>
      <c r="H49" s="33"/>
      <c r="I49" s="30"/>
    </row>
    <row r="50" spans="1:9" ht="35.1" customHeight="1">
      <c r="A50" s="31"/>
      <c r="B50" s="32"/>
      <c r="C50" s="29"/>
      <c r="D50" s="29"/>
      <c r="E50" s="29"/>
      <c r="F50" s="29"/>
      <c r="G50" s="29"/>
      <c r="H50" s="33"/>
      <c r="I50" s="30"/>
    </row>
    <row r="51" spans="1:9" ht="35.1" customHeight="1">
      <c r="A51" s="31"/>
      <c r="B51" s="32"/>
      <c r="C51" s="29"/>
      <c r="D51" s="29"/>
      <c r="E51" s="29"/>
      <c r="F51" s="29"/>
      <c r="G51" s="29"/>
      <c r="H51" s="33"/>
      <c r="I51" s="30"/>
    </row>
    <row r="52" spans="1:9" ht="35.1" customHeight="1">
      <c r="A52" s="31"/>
      <c r="B52" s="32"/>
      <c r="C52" s="29"/>
      <c r="D52" s="29"/>
      <c r="E52" s="29"/>
      <c r="F52" s="29"/>
      <c r="G52" s="29"/>
      <c r="H52" s="33"/>
      <c r="I52" s="30"/>
    </row>
    <row r="53" spans="1:9" ht="35.1" customHeight="1">
      <c r="A53" s="31"/>
      <c r="B53" s="32"/>
      <c r="C53" s="29"/>
      <c r="D53" s="29"/>
      <c r="E53" s="29"/>
      <c r="F53" s="29"/>
      <c r="G53" s="29"/>
      <c r="H53" s="33"/>
      <c r="I53" s="30"/>
    </row>
    <row r="54" spans="1:9">
      <c r="A54" s="31"/>
      <c r="B54" s="32"/>
      <c r="C54" s="29"/>
      <c r="D54" s="29"/>
      <c r="E54" s="29"/>
      <c r="F54" s="29"/>
      <c r="G54" s="29"/>
      <c r="H54" s="33"/>
      <c r="I54" s="30"/>
    </row>
    <row r="55" spans="1:9">
      <c r="A55" s="31"/>
      <c r="B55" s="32"/>
      <c r="C55" s="29"/>
      <c r="D55" s="29"/>
      <c r="E55" s="29"/>
      <c r="F55" s="29"/>
      <c r="G55" s="29"/>
      <c r="H55" s="33"/>
      <c r="I55" s="30"/>
    </row>
    <row r="56" spans="1:9">
      <c r="A56" s="31"/>
      <c r="B56" s="32"/>
      <c r="C56" s="29"/>
      <c r="D56" s="29"/>
      <c r="E56" s="29"/>
      <c r="F56" s="29"/>
      <c r="G56" s="29"/>
      <c r="H56" s="33"/>
      <c r="I56" s="30"/>
    </row>
    <row r="57" spans="1:9">
      <c r="A57" s="31"/>
      <c r="B57" s="32"/>
      <c r="C57" s="29"/>
      <c r="D57" s="29"/>
      <c r="E57" s="29"/>
      <c r="F57" s="29"/>
      <c r="G57" s="29"/>
      <c r="H57" s="33"/>
      <c r="I57" s="30"/>
    </row>
    <row r="58" spans="1:9">
      <c r="A58" s="31"/>
      <c r="B58" s="32"/>
      <c r="C58" s="29"/>
      <c r="D58" s="29"/>
      <c r="E58" s="29"/>
      <c r="F58" s="29"/>
      <c r="G58" s="29"/>
      <c r="H58" s="33"/>
      <c r="I58" s="30"/>
    </row>
    <row r="59" spans="1:9">
      <c r="A59" s="31"/>
      <c r="B59" s="32"/>
      <c r="C59" s="29"/>
      <c r="D59" s="29"/>
      <c r="E59" s="29"/>
      <c r="F59" s="29"/>
      <c r="G59" s="29"/>
      <c r="H59" s="33"/>
      <c r="I59" s="30"/>
    </row>
    <row r="60" spans="1:9">
      <c r="A60" s="31"/>
      <c r="B60" s="32"/>
      <c r="C60" s="29"/>
      <c r="D60" s="29"/>
      <c r="E60" s="29"/>
      <c r="F60" s="29"/>
      <c r="G60" s="29"/>
      <c r="H60" s="33"/>
      <c r="I60" s="30"/>
    </row>
    <row r="61" spans="1:9">
      <c r="A61" s="31"/>
      <c r="B61" s="32"/>
      <c r="C61" s="29"/>
      <c r="D61" s="29"/>
      <c r="E61" s="29"/>
      <c r="F61" s="29"/>
      <c r="G61" s="29"/>
      <c r="H61" s="33"/>
      <c r="I61" s="30"/>
    </row>
    <row r="62" spans="1:9">
      <c r="A62" s="31"/>
      <c r="B62" s="32"/>
      <c r="C62" s="29"/>
      <c r="D62" s="29"/>
      <c r="E62" s="29"/>
      <c r="F62" s="29"/>
      <c r="G62" s="29"/>
      <c r="H62" s="33"/>
      <c r="I62" s="30"/>
    </row>
    <row r="63" spans="1:9">
      <c r="A63" s="31"/>
      <c r="B63" s="32"/>
      <c r="C63" s="29"/>
      <c r="D63" s="29"/>
      <c r="E63" s="29"/>
      <c r="F63" s="29"/>
      <c r="G63" s="29"/>
      <c r="H63" s="33"/>
      <c r="I63" s="30"/>
    </row>
    <row r="64" spans="1:9">
      <c r="A64" s="31"/>
      <c r="B64" s="32"/>
      <c r="C64" s="29"/>
      <c r="D64" s="29"/>
      <c r="E64" s="29"/>
      <c r="F64" s="29"/>
      <c r="G64" s="29"/>
      <c r="H64" s="33"/>
      <c r="I64" s="30"/>
    </row>
    <row r="65" spans="1:9">
      <c r="A65" s="31"/>
      <c r="B65" s="32"/>
      <c r="C65" s="29"/>
      <c r="D65" s="29"/>
      <c r="E65" s="29"/>
      <c r="F65" s="29"/>
      <c r="G65" s="29"/>
      <c r="H65" s="33"/>
      <c r="I65" s="30"/>
    </row>
    <row r="66" spans="1:9">
      <c r="A66" s="31"/>
      <c r="B66" s="32"/>
      <c r="C66" s="29"/>
      <c r="D66" s="29"/>
      <c r="E66" s="29"/>
      <c r="F66" s="29"/>
      <c r="G66" s="29"/>
      <c r="H66" s="33"/>
      <c r="I66" s="30"/>
    </row>
    <row r="67" spans="1:9">
      <c r="A67" s="31"/>
      <c r="B67" s="32"/>
      <c r="C67" s="29"/>
      <c r="D67" s="29"/>
      <c r="E67" s="29"/>
      <c r="F67" s="29"/>
      <c r="G67" s="29"/>
      <c r="H67" s="33"/>
      <c r="I67" s="30"/>
    </row>
    <row r="68" spans="1:9">
      <c r="A68" s="31"/>
      <c r="B68" s="32"/>
      <c r="C68" s="29"/>
      <c r="D68" s="29"/>
      <c r="E68" s="29"/>
      <c r="F68" s="29"/>
      <c r="G68" s="29"/>
      <c r="H68" s="33"/>
      <c r="I68" s="30"/>
    </row>
  </sheetData>
  <mergeCells count="52">
    <mergeCell ref="H22:H24"/>
    <mergeCell ref="I8:I10"/>
    <mergeCell ref="I11:I13"/>
    <mergeCell ref="I14:I16"/>
    <mergeCell ref="I17:I18"/>
    <mergeCell ref="I19:I21"/>
    <mergeCell ref="I22:I24"/>
    <mergeCell ref="H8:H10"/>
    <mergeCell ref="H11:H13"/>
    <mergeCell ref="H14:H16"/>
    <mergeCell ref="H17:H18"/>
    <mergeCell ref="H19:H21"/>
    <mergeCell ref="F19:F21"/>
    <mergeCell ref="F22:F24"/>
    <mergeCell ref="G8:G10"/>
    <mergeCell ref="G11:G13"/>
    <mergeCell ref="G14:G16"/>
    <mergeCell ref="G17:G18"/>
    <mergeCell ref="G19:G21"/>
    <mergeCell ref="G22:G24"/>
    <mergeCell ref="D19:D21"/>
    <mergeCell ref="D22:D24"/>
    <mergeCell ref="E8:E10"/>
    <mergeCell ref="E11:E13"/>
    <mergeCell ref="E14:E16"/>
    <mergeCell ref="E17:E18"/>
    <mergeCell ref="E19:E21"/>
    <mergeCell ref="E22:E24"/>
    <mergeCell ref="A19:A21"/>
    <mergeCell ref="A22:A24"/>
    <mergeCell ref="B8:B16"/>
    <mergeCell ref="B17:B24"/>
    <mergeCell ref="C8:C16"/>
    <mergeCell ref="C17:C24"/>
    <mergeCell ref="C6:F6"/>
    <mergeCell ref="A8:A10"/>
    <mergeCell ref="A11:A13"/>
    <mergeCell ref="A14:A16"/>
    <mergeCell ref="A17:A18"/>
    <mergeCell ref="D8:D10"/>
    <mergeCell ref="D11:D13"/>
    <mergeCell ref="D14:D16"/>
    <mergeCell ref="D17:D18"/>
    <mergeCell ref="F8:F10"/>
    <mergeCell ref="F11:F13"/>
    <mergeCell ref="F14:F16"/>
    <mergeCell ref="F17:F18"/>
    <mergeCell ref="A1:F1"/>
    <mergeCell ref="C2:D2"/>
    <mergeCell ref="C3:D3"/>
    <mergeCell ref="C4:D4"/>
    <mergeCell ref="C5:D5"/>
  </mergeCells>
  <conditionalFormatting sqref="H14">
    <cfRule type="cellIs" dxfId="149" priority="181" stopIfTrue="1" operator="equal">
      <formula>"N/A"</formula>
    </cfRule>
    <cfRule type="cellIs" dxfId="148" priority="182" stopIfTrue="1" operator="equal">
      <formula>"Fail"</formula>
    </cfRule>
    <cfRule type="cellIs" dxfId="147" priority="183" stopIfTrue="1" operator="equal">
      <formula>"Pass"</formula>
    </cfRule>
  </conditionalFormatting>
  <conditionalFormatting sqref="H17">
    <cfRule type="cellIs" dxfId="146" priority="9" stopIfTrue="1" operator="equal">
      <formula>"Pass"</formula>
    </cfRule>
    <cfRule type="cellIs" dxfId="145" priority="8" stopIfTrue="1" operator="equal">
      <formula>"Fail"</formula>
    </cfRule>
    <cfRule type="cellIs" dxfId="144" priority="7" stopIfTrue="1" operator="equal">
      <formula>"N/A"</formula>
    </cfRule>
  </conditionalFormatting>
  <conditionalFormatting sqref="H19">
    <cfRule type="cellIs" dxfId="143" priority="4" stopIfTrue="1" operator="equal">
      <formula>"N/A"</formula>
    </cfRule>
    <cfRule type="cellIs" dxfId="142" priority="5" stopIfTrue="1" operator="equal">
      <formula>"Fail"</formula>
    </cfRule>
    <cfRule type="cellIs" dxfId="141" priority="6" stopIfTrue="1" operator="equal">
      <formula>"Pass"</formula>
    </cfRule>
  </conditionalFormatting>
  <conditionalFormatting sqref="H22">
    <cfRule type="cellIs" dxfId="140" priority="1" stopIfTrue="1" operator="equal">
      <formula>"N/A"</formula>
    </cfRule>
    <cfRule type="cellIs" dxfId="139" priority="2" stopIfTrue="1" operator="equal">
      <formula>"Fail"</formula>
    </cfRule>
    <cfRule type="cellIs" dxfId="138" priority="3" stopIfTrue="1" operator="equal">
      <formula>"Pass"</formula>
    </cfRule>
  </conditionalFormatting>
  <conditionalFormatting sqref="H25">
    <cfRule type="cellIs" dxfId="137" priority="119" stopIfTrue="1" operator="equal">
      <formula>"N/A"</formula>
    </cfRule>
    <cfRule type="cellIs" dxfId="136" priority="139" stopIfTrue="1" operator="equal">
      <formula>"Fail"</formula>
    </cfRule>
    <cfRule type="cellIs" dxfId="135" priority="159" stopIfTrue="1" operator="equal">
      <formula>"Pass"</formula>
    </cfRule>
  </conditionalFormatting>
  <conditionalFormatting sqref="H26">
    <cfRule type="cellIs" dxfId="134" priority="118" stopIfTrue="1" operator="equal">
      <formula>"N/A"</formula>
    </cfRule>
    <cfRule type="cellIs" dxfId="133" priority="138" stopIfTrue="1" operator="equal">
      <formula>"Fail"</formula>
    </cfRule>
    <cfRule type="cellIs" dxfId="132" priority="158" stopIfTrue="1" operator="equal">
      <formula>"Pass"</formula>
    </cfRule>
  </conditionalFormatting>
  <conditionalFormatting sqref="H27">
    <cfRule type="cellIs" dxfId="131" priority="117" stopIfTrue="1" operator="equal">
      <formula>"N/A"</formula>
    </cfRule>
    <cfRule type="cellIs" dxfId="130" priority="137" stopIfTrue="1" operator="equal">
      <formula>"Fail"</formula>
    </cfRule>
    <cfRule type="cellIs" dxfId="129" priority="157" stopIfTrue="1" operator="equal">
      <formula>"Pass"</formula>
    </cfRule>
  </conditionalFormatting>
  <conditionalFormatting sqref="H28">
    <cfRule type="cellIs" dxfId="128" priority="116" stopIfTrue="1" operator="equal">
      <formula>"N/A"</formula>
    </cfRule>
    <cfRule type="cellIs" dxfId="127" priority="136" stopIfTrue="1" operator="equal">
      <formula>"Fail"</formula>
    </cfRule>
    <cfRule type="cellIs" dxfId="126" priority="156" stopIfTrue="1" operator="equal">
      <formula>"Pass"</formula>
    </cfRule>
  </conditionalFormatting>
  <conditionalFormatting sqref="H29">
    <cfRule type="cellIs" dxfId="125" priority="115" stopIfTrue="1" operator="equal">
      <formula>"N/A"</formula>
    </cfRule>
    <cfRule type="cellIs" dxfId="124" priority="135" stopIfTrue="1" operator="equal">
      <formula>"Fail"</formula>
    </cfRule>
    <cfRule type="cellIs" dxfId="123" priority="155" stopIfTrue="1" operator="equal">
      <formula>"Pass"</formula>
    </cfRule>
  </conditionalFormatting>
  <conditionalFormatting sqref="H30">
    <cfRule type="cellIs" dxfId="122" priority="114" stopIfTrue="1" operator="equal">
      <formula>"N/A"</formula>
    </cfRule>
    <cfRule type="cellIs" dxfId="121" priority="134" stopIfTrue="1" operator="equal">
      <formula>"Fail"</formula>
    </cfRule>
    <cfRule type="cellIs" dxfId="120" priority="154" stopIfTrue="1" operator="equal">
      <formula>"Pass"</formula>
    </cfRule>
  </conditionalFormatting>
  <conditionalFormatting sqref="H31">
    <cfRule type="cellIs" dxfId="119" priority="113" stopIfTrue="1" operator="equal">
      <formula>"N/A"</formula>
    </cfRule>
    <cfRule type="cellIs" dxfId="118" priority="133" stopIfTrue="1" operator="equal">
      <formula>"Fail"</formula>
    </cfRule>
    <cfRule type="cellIs" dxfId="117" priority="153" stopIfTrue="1" operator="equal">
      <formula>"Pass"</formula>
    </cfRule>
  </conditionalFormatting>
  <conditionalFormatting sqref="H32">
    <cfRule type="cellIs" dxfId="116" priority="112" stopIfTrue="1" operator="equal">
      <formula>"N/A"</formula>
    </cfRule>
    <cfRule type="cellIs" dxfId="115" priority="132" stopIfTrue="1" operator="equal">
      <formula>"Fail"</formula>
    </cfRule>
    <cfRule type="cellIs" dxfId="114" priority="152" stopIfTrue="1" operator="equal">
      <formula>"Pass"</formula>
    </cfRule>
  </conditionalFormatting>
  <conditionalFormatting sqref="H33">
    <cfRule type="cellIs" dxfId="113" priority="111" stopIfTrue="1" operator="equal">
      <formula>"N/A"</formula>
    </cfRule>
    <cfRule type="cellIs" dxfId="112" priority="131" stopIfTrue="1" operator="equal">
      <formula>"Fail"</formula>
    </cfRule>
    <cfRule type="cellIs" dxfId="111" priority="151" stopIfTrue="1" operator="equal">
      <formula>"Pass"</formula>
    </cfRule>
  </conditionalFormatting>
  <conditionalFormatting sqref="H34">
    <cfRule type="cellIs" dxfId="110" priority="110" stopIfTrue="1" operator="equal">
      <formula>"N/A"</formula>
    </cfRule>
    <cfRule type="cellIs" dxfId="109" priority="130" stopIfTrue="1" operator="equal">
      <formula>"Fail"</formula>
    </cfRule>
    <cfRule type="cellIs" dxfId="108" priority="150" stopIfTrue="1" operator="equal">
      <formula>"Pass"</formula>
    </cfRule>
  </conditionalFormatting>
  <conditionalFormatting sqref="H35">
    <cfRule type="cellIs" dxfId="107" priority="109" stopIfTrue="1" operator="equal">
      <formula>"N/A"</formula>
    </cfRule>
    <cfRule type="cellIs" dxfId="106" priority="129" stopIfTrue="1" operator="equal">
      <formula>"Fail"</formula>
    </cfRule>
    <cfRule type="cellIs" dxfId="105" priority="149" stopIfTrue="1" operator="equal">
      <formula>"Pass"</formula>
    </cfRule>
  </conditionalFormatting>
  <conditionalFormatting sqref="H36">
    <cfRule type="cellIs" dxfId="104" priority="42" stopIfTrue="1" operator="equal">
      <formula>"N/A"</formula>
    </cfRule>
    <cfRule type="cellIs" dxfId="103" priority="75" stopIfTrue="1" operator="equal">
      <formula>"Fail"</formula>
    </cfRule>
    <cfRule type="cellIs" dxfId="102" priority="108" stopIfTrue="1" operator="equal">
      <formula>"Pass"</formula>
    </cfRule>
  </conditionalFormatting>
  <conditionalFormatting sqref="H37">
    <cfRule type="cellIs" dxfId="101" priority="41" stopIfTrue="1" operator="equal">
      <formula>"N/A"</formula>
    </cfRule>
    <cfRule type="cellIs" dxfId="100" priority="74" stopIfTrue="1" operator="equal">
      <formula>"Fail"</formula>
    </cfRule>
    <cfRule type="cellIs" dxfId="99" priority="107" stopIfTrue="1" operator="equal">
      <formula>"Pass"</formula>
    </cfRule>
  </conditionalFormatting>
  <conditionalFormatting sqref="H38">
    <cfRule type="cellIs" dxfId="98" priority="40" stopIfTrue="1" operator="equal">
      <formula>"N/A"</formula>
    </cfRule>
    <cfRule type="cellIs" dxfId="97" priority="73" stopIfTrue="1" operator="equal">
      <formula>"Fail"</formula>
    </cfRule>
    <cfRule type="cellIs" dxfId="96" priority="106" stopIfTrue="1" operator="equal">
      <formula>"Pass"</formula>
    </cfRule>
  </conditionalFormatting>
  <conditionalFormatting sqref="H39">
    <cfRule type="cellIs" dxfId="95" priority="39" stopIfTrue="1" operator="equal">
      <formula>"N/A"</formula>
    </cfRule>
    <cfRule type="cellIs" dxfId="94" priority="72" stopIfTrue="1" operator="equal">
      <formula>"Fail"</formula>
    </cfRule>
    <cfRule type="cellIs" dxfId="93" priority="105" stopIfTrue="1" operator="equal">
      <formula>"Pass"</formula>
    </cfRule>
  </conditionalFormatting>
  <conditionalFormatting sqref="H40">
    <cfRule type="cellIs" dxfId="92" priority="38" stopIfTrue="1" operator="equal">
      <formula>"N/A"</formula>
    </cfRule>
    <cfRule type="cellIs" dxfId="91" priority="71" stopIfTrue="1" operator="equal">
      <formula>"Fail"</formula>
    </cfRule>
    <cfRule type="cellIs" dxfId="90" priority="104" stopIfTrue="1" operator="equal">
      <formula>"Pass"</formula>
    </cfRule>
  </conditionalFormatting>
  <conditionalFormatting sqref="H41">
    <cfRule type="cellIs" dxfId="89" priority="37" stopIfTrue="1" operator="equal">
      <formula>"N/A"</formula>
    </cfRule>
    <cfRule type="cellIs" dxfId="88" priority="70" stopIfTrue="1" operator="equal">
      <formula>"Fail"</formula>
    </cfRule>
    <cfRule type="cellIs" dxfId="87" priority="103" stopIfTrue="1" operator="equal">
      <formula>"Pass"</formula>
    </cfRule>
  </conditionalFormatting>
  <conditionalFormatting sqref="H42">
    <cfRule type="cellIs" dxfId="86" priority="36" stopIfTrue="1" operator="equal">
      <formula>"N/A"</formula>
    </cfRule>
    <cfRule type="cellIs" dxfId="85" priority="69" stopIfTrue="1" operator="equal">
      <formula>"Fail"</formula>
    </cfRule>
    <cfRule type="cellIs" dxfId="84" priority="102" stopIfTrue="1" operator="equal">
      <formula>"Pass"</formula>
    </cfRule>
  </conditionalFormatting>
  <conditionalFormatting sqref="H43">
    <cfRule type="cellIs" dxfId="83" priority="35" stopIfTrue="1" operator="equal">
      <formula>"N/A"</formula>
    </cfRule>
    <cfRule type="cellIs" dxfId="82" priority="68" stopIfTrue="1" operator="equal">
      <formula>"Fail"</formula>
    </cfRule>
    <cfRule type="cellIs" dxfId="81" priority="101" stopIfTrue="1" operator="equal">
      <formula>"Pass"</formula>
    </cfRule>
  </conditionalFormatting>
  <conditionalFormatting sqref="H44">
    <cfRule type="cellIs" dxfId="80" priority="34" stopIfTrue="1" operator="equal">
      <formula>"N/A"</formula>
    </cfRule>
    <cfRule type="cellIs" dxfId="79" priority="67" stopIfTrue="1" operator="equal">
      <formula>"Fail"</formula>
    </cfRule>
    <cfRule type="cellIs" dxfId="78" priority="100" stopIfTrue="1" operator="equal">
      <formula>"Pass"</formula>
    </cfRule>
  </conditionalFormatting>
  <conditionalFormatting sqref="H45">
    <cfRule type="cellIs" dxfId="77" priority="33" stopIfTrue="1" operator="equal">
      <formula>"N/A"</formula>
    </cfRule>
    <cfRule type="cellIs" dxfId="76" priority="66" stopIfTrue="1" operator="equal">
      <formula>"Fail"</formula>
    </cfRule>
    <cfRule type="cellIs" dxfId="75" priority="99" stopIfTrue="1" operator="equal">
      <formula>"Pass"</formula>
    </cfRule>
  </conditionalFormatting>
  <conditionalFormatting sqref="H46">
    <cfRule type="cellIs" dxfId="74" priority="32" stopIfTrue="1" operator="equal">
      <formula>"N/A"</formula>
    </cfRule>
    <cfRule type="cellIs" dxfId="73" priority="65" stopIfTrue="1" operator="equal">
      <formula>"Fail"</formula>
    </cfRule>
    <cfRule type="cellIs" dxfId="72" priority="98" stopIfTrue="1" operator="equal">
      <formula>"Pass"</formula>
    </cfRule>
  </conditionalFormatting>
  <conditionalFormatting sqref="H47">
    <cfRule type="cellIs" dxfId="71" priority="31" stopIfTrue="1" operator="equal">
      <formula>"N/A"</formula>
    </cfRule>
    <cfRule type="cellIs" dxfId="70" priority="64" stopIfTrue="1" operator="equal">
      <formula>"Fail"</formula>
    </cfRule>
    <cfRule type="cellIs" dxfId="69" priority="97" stopIfTrue="1" operator="equal">
      <formula>"Pass"</formula>
    </cfRule>
  </conditionalFormatting>
  <conditionalFormatting sqref="H48">
    <cfRule type="cellIs" dxfId="68" priority="30" stopIfTrue="1" operator="equal">
      <formula>"N/A"</formula>
    </cfRule>
    <cfRule type="cellIs" dxfId="67" priority="63" stopIfTrue="1" operator="equal">
      <formula>"Fail"</formula>
    </cfRule>
    <cfRule type="cellIs" dxfId="66" priority="96" stopIfTrue="1" operator="equal">
      <formula>"Pass"</formula>
    </cfRule>
  </conditionalFormatting>
  <conditionalFormatting sqref="H49">
    <cfRule type="cellIs" dxfId="65" priority="29" stopIfTrue="1" operator="equal">
      <formula>"N/A"</formula>
    </cfRule>
    <cfRule type="cellIs" dxfId="64" priority="62" stopIfTrue="1" operator="equal">
      <formula>"Fail"</formula>
    </cfRule>
    <cfRule type="cellIs" dxfId="63" priority="95" stopIfTrue="1" operator="equal">
      <formula>"Pass"</formula>
    </cfRule>
  </conditionalFormatting>
  <conditionalFormatting sqref="H50">
    <cfRule type="cellIs" dxfId="62" priority="28" stopIfTrue="1" operator="equal">
      <formula>"N/A"</formula>
    </cfRule>
    <cfRule type="cellIs" dxfId="61" priority="61" stopIfTrue="1" operator="equal">
      <formula>"Fail"</formula>
    </cfRule>
    <cfRule type="cellIs" dxfId="60" priority="94" stopIfTrue="1" operator="equal">
      <formula>"Pass"</formula>
    </cfRule>
  </conditionalFormatting>
  <conditionalFormatting sqref="H51">
    <cfRule type="cellIs" dxfId="59" priority="27" stopIfTrue="1" operator="equal">
      <formula>"N/A"</formula>
    </cfRule>
    <cfRule type="cellIs" dxfId="58" priority="60" stopIfTrue="1" operator="equal">
      <formula>"Fail"</formula>
    </cfRule>
    <cfRule type="cellIs" dxfId="57" priority="93" stopIfTrue="1" operator="equal">
      <formula>"Pass"</formula>
    </cfRule>
  </conditionalFormatting>
  <conditionalFormatting sqref="H52">
    <cfRule type="cellIs" dxfId="56" priority="26" stopIfTrue="1" operator="equal">
      <formula>"N/A"</formula>
    </cfRule>
    <cfRule type="cellIs" dxfId="55" priority="59" stopIfTrue="1" operator="equal">
      <formula>"Fail"</formula>
    </cfRule>
    <cfRule type="cellIs" dxfId="54" priority="92" stopIfTrue="1" operator="equal">
      <formula>"Pass"</formula>
    </cfRule>
  </conditionalFormatting>
  <conditionalFormatting sqref="H53">
    <cfRule type="cellIs" dxfId="53" priority="25" stopIfTrue="1" operator="equal">
      <formula>"N/A"</formula>
    </cfRule>
    <cfRule type="cellIs" dxfId="52" priority="58" stopIfTrue="1" operator="equal">
      <formula>"Fail"</formula>
    </cfRule>
    <cfRule type="cellIs" dxfId="51" priority="91" stopIfTrue="1" operator="equal">
      <formula>"Pass"</formula>
    </cfRule>
  </conditionalFormatting>
  <conditionalFormatting sqref="H54">
    <cfRule type="cellIs" dxfId="50" priority="24" stopIfTrue="1" operator="equal">
      <formula>"N/A"</formula>
    </cfRule>
    <cfRule type="cellIs" dxfId="49" priority="57" stopIfTrue="1" operator="equal">
      <formula>"Fail"</formula>
    </cfRule>
    <cfRule type="cellIs" dxfId="48" priority="90" stopIfTrue="1" operator="equal">
      <formula>"Pass"</formula>
    </cfRule>
  </conditionalFormatting>
  <conditionalFormatting sqref="H55">
    <cfRule type="cellIs" dxfId="47" priority="23" stopIfTrue="1" operator="equal">
      <formula>"N/A"</formula>
    </cfRule>
    <cfRule type="cellIs" dxfId="46" priority="56" stopIfTrue="1" operator="equal">
      <formula>"Fail"</formula>
    </cfRule>
    <cfRule type="cellIs" dxfId="45" priority="89" stopIfTrue="1" operator="equal">
      <formula>"Pass"</formula>
    </cfRule>
  </conditionalFormatting>
  <conditionalFormatting sqref="H56">
    <cfRule type="cellIs" dxfId="44" priority="22" stopIfTrue="1" operator="equal">
      <formula>"N/A"</formula>
    </cfRule>
    <cfRule type="cellIs" dxfId="43" priority="55" stopIfTrue="1" operator="equal">
      <formula>"Fail"</formula>
    </cfRule>
    <cfRule type="cellIs" dxfId="42" priority="88" stopIfTrue="1" operator="equal">
      <formula>"Pass"</formula>
    </cfRule>
  </conditionalFormatting>
  <conditionalFormatting sqref="H57">
    <cfRule type="cellIs" dxfId="41" priority="21" stopIfTrue="1" operator="equal">
      <formula>"N/A"</formula>
    </cfRule>
    <cfRule type="cellIs" dxfId="40" priority="54" stopIfTrue="1" operator="equal">
      <formula>"Fail"</formula>
    </cfRule>
    <cfRule type="cellIs" dxfId="39" priority="87" stopIfTrue="1" operator="equal">
      <formula>"Pass"</formula>
    </cfRule>
  </conditionalFormatting>
  <conditionalFormatting sqref="H58">
    <cfRule type="cellIs" dxfId="38" priority="20" stopIfTrue="1" operator="equal">
      <formula>"N/A"</formula>
    </cfRule>
    <cfRule type="cellIs" dxfId="37" priority="53" stopIfTrue="1" operator="equal">
      <formula>"Fail"</formula>
    </cfRule>
    <cfRule type="cellIs" dxfId="36" priority="86" stopIfTrue="1" operator="equal">
      <formula>"Pass"</formula>
    </cfRule>
  </conditionalFormatting>
  <conditionalFormatting sqref="H59">
    <cfRule type="cellIs" dxfId="35" priority="19" stopIfTrue="1" operator="equal">
      <formula>"N/A"</formula>
    </cfRule>
    <cfRule type="cellIs" dxfId="34" priority="52" stopIfTrue="1" operator="equal">
      <formula>"Fail"</formula>
    </cfRule>
    <cfRule type="cellIs" dxfId="33" priority="85" stopIfTrue="1" operator="equal">
      <formula>"Pass"</formula>
    </cfRule>
  </conditionalFormatting>
  <conditionalFormatting sqref="H60">
    <cfRule type="cellIs" dxfId="32" priority="18" stopIfTrue="1" operator="equal">
      <formula>"N/A"</formula>
    </cfRule>
    <cfRule type="cellIs" dxfId="31" priority="51" stopIfTrue="1" operator="equal">
      <formula>"Fail"</formula>
    </cfRule>
    <cfRule type="cellIs" dxfId="30" priority="84" stopIfTrue="1" operator="equal">
      <formula>"Pass"</formula>
    </cfRule>
  </conditionalFormatting>
  <conditionalFormatting sqref="H61">
    <cfRule type="cellIs" dxfId="29" priority="17" stopIfTrue="1" operator="equal">
      <formula>"N/A"</formula>
    </cfRule>
    <cfRule type="cellIs" dxfId="28" priority="50" stopIfTrue="1" operator="equal">
      <formula>"Fail"</formula>
    </cfRule>
    <cfRule type="cellIs" dxfId="27" priority="83" stopIfTrue="1" operator="equal">
      <formula>"Pass"</formula>
    </cfRule>
  </conditionalFormatting>
  <conditionalFormatting sqref="H62">
    <cfRule type="cellIs" dxfId="26" priority="16" stopIfTrue="1" operator="equal">
      <formula>"N/A"</formula>
    </cfRule>
    <cfRule type="cellIs" dxfId="25" priority="49" stopIfTrue="1" operator="equal">
      <formula>"Fail"</formula>
    </cfRule>
    <cfRule type="cellIs" dxfId="24" priority="82" stopIfTrue="1" operator="equal">
      <formula>"Pass"</formula>
    </cfRule>
  </conditionalFormatting>
  <conditionalFormatting sqref="H63">
    <cfRule type="cellIs" dxfId="23" priority="15" stopIfTrue="1" operator="equal">
      <formula>"N/A"</formula>
    </cfRule>
    <cfRule type="cellIs" dxfId="22" priority="48" stopIfTrue="1" operator="equal">
      <formula>"Fail"</formula>
    </cfRule>
    <cfRule type="cellIs" dxfId="21" priority="81" stopIfTrue="1" operator="equal">
      <formula>"Pass"</formula>
    </cfRule>
  </conditionalFormatting>
  <conditionalFormatting sqref="H64">
    <cfRule type="cellIs" dxfId="20" priority="14" stopIfTrue="1" operator="equal">
      <formula>"N/A"</formula>
    </cfRule>
    <cfRule type="cellIs" dxfId="19" priority="47" stopIfTrue="1" operator="equal">
      <formula>"Fail"</formula>
    </cfRule>
    <cfRule type="cellIs" dxfId="18" priority="80" stopIfTrue="1" operator="equal">
      <formula>"Pass"</formula>
    </cfRule>
  </conditionalFormatting>
  <conditionalFormatting sqref="H65">
    <cfRule type="cellIs" dxfId="17" priority="13" stopIfTrue="1" operator="equal">
      <formula>"N/A"</formula>
    </cfRule>
    <cfRule type="cellIs" dxfId="16" priority="46" stopIfTrue="1" operator="equal">
      <formula>"Fail"</formula>
    </cfRule>
    <cfRule type="cellIs" dxfId="15" priority="79" stopIfTrue="1" operator="equal">
      <formula>"Pass"</formula>
    </cfRule>
  </conditionalFormatting>
  <conditionalFormatting sqref="H66">
    <cfRule type="cellIs" dxfId="14" priority="12" stopIfTrue="1" operator="equal">
      <formula>"N/A"</formula>
    </cfRule>
    <cfRule type="cellIs" dxfId="13" priority="45" stopIfTrue="1" operator="equal">
      <formula>"Fail"</formula>
    </cfRule>
    <cfRule type="cellIs" dxfId="12" priority="78" stopIfTrue="1" operator="equal">
      <formula>"Pass"</formula>
    </cfRule>
  </conditionalFormatting>
  <conditionalFormatting sqref="H67">
    <cfRule type="cellIs" dxfId="11" priority="11" stopIfTrue="1" operator="equal">
      <formula>"N/A"</formula>
    </cfRule>
    <cfRule type="cellIs" dxfId="10" priority="44" stopIfTrue="1" operator="equal">
      <formula>"Fail"</formula>
    </cfRule>
    <cfRule type="cellIs" dxfId="9" priority="77" stopIfTrue="1" operator="equal">
      <formula>"Pass"</formula>
    </cfRule>
  </conditionalFormatting>
  <conditionalFormatting sqref="H68">
    <cfRule type="cellIs" dxfId="8" priority="10" stopIfTrue="1" operator="equal">
      <formula>"N/A"</formula>
    </cfRule>
    <cfRule type="cellIs" dxfId="7" priority="43" stopIfTrue="1" operator="equal">
      <formula>"Fail"</formula>
    </cfRule>
    <cfRule type="cellIs" dxfId="6" priority="76" stopIfTrue="1" operator="equal">
      <formula>"Pass"</formula>
    </cfRule>
  </conditionalFormatting>
  <conditionalFormatting sqref="H8:H10">
    <cfRule type="cellIs" dxfId="5" priority="172" stopIfTrue="1" operator="equal">
      <formula>"N/A"</formula>
    </cfRule>
    <cfRule type="cellIs" dxfId="4" priority="173" stopIfTrue="1" operator="equal">
      <formula>"Fail"</formula>
    </cfRule>
    <cfRule type="cellIs" dxfId="3" priority="174" stopIfTrue="1" operator="equal">
      <formula>"Pass"</formula>
    </cfRule>
  </conditionalFormatting>
  <conditionalFormatting sqref="H11:H13">
    <cfRule type="cellIs" dxfId="2" priority="196" stopIfTrue="1" operator="equal">
      <formula>"N/A"</formula>
    </cfRule>
    <cfRule type="cellIs" dxfId="1" priority="197" stopIfTrue="1" operator="equal">
      <formula>"Fail"</formula>
    </cfRule>
    <cfRule type="cellIs" dxfId="0" priority="198" stopIfTrue="1" operator="equal">
      <formula>"Pass"</formula>
    </cfRule>
  </conditionalFormatting>
  <dataValidations count="1">
    <dataValidation type="list" allowBlank="1" showInputMessage="1" showErrorMessage="1" sqref="H25:H68" xr:uid="{00000000-0002-0000-0000-000000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2025-12-22T14:47:30Z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