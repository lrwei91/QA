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/>
  <xr:revisionPtr revIDLastSave="1" documentId="11_C986C085A0EE9F018A64358F97204A5E72EB4223" xr6:coauthVersionLast="47" xr6:coauthVersionMax="47" xr10:uidLastSave="{E431FD75-9A65-41BE-859C-0BF30FA0158D}"/>
  <bookViews>
    <workbookView xWindow="0" yWindow="0" windowWidth="28800" windowHeight="12375" xr2:uid="{00000000-000D-0000-FFFF-FFFF00000000}"/>
  </bookViews>
  <sheets>
    <sheet name="客服总台优化" sheetId="2" r:id="rId1"/>
    <sheet name="需求迭代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/>
</calcChain>
</file>

<file path=xl/sharedStrings.xml><?xml version="1.0" encoding="utf-8"?>
<sst xmlns="http://schemas.openxmlformats.org/spreadsheetml/2006/main" count="81" uniqueCount="67">
  <si>
    <t xml:space="preserve"> 客服总台优化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</si>
  <si>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</si>
  <si>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</si>
  <si>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</si>
  <si>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</si>
  <si>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</si>
  <si>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</si>
  <si>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</si>
  <si>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</si>
  <si>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</si>
  <si>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</si>
  <si>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</si>
  <si>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</si>
  <si>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</si>
  <si>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</si>
  <si>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</si>
  <si>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</si>
  <si>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</si>
  <si>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</si>
  <si>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</si>
  <si>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</si>
  <si>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</si>
  <si>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</si>
  <si>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客服总台</t>
  </si>
  <si>
    <t>财务系统-提现记录</t>
  </si>
  <si>
    <t>批量操作勾选状态保留</t>
  </si>
  <si>
    <t>1. 已登录客服总台系统。
2. 提现记录列表中存在至少2条以上的订单数据。</t>
  </si>
  <si>
    <t>1. 进入【财务系统】-&gt;【提现记录】页面。
2. 勾选列表中的订单A和订单B。
3. 点击页面上的批量操作按钮，如“批量备注”。
4. 在弹出的窗口中执行操作并确认。
5. 操作完成后，观察页面列表。</t>
  </si>
  <si>
    <t>1. 批量操作成功执行。
2. 操作完成后，订单A和订单B的勾选框仍为选中状态。
3. 页面列表的勾选状态没有被重置或清空。</t>
  </si>
  <si>
    <t>财务系统-代付订单重置</t>
  </si>
  <si>
    <t>1. 已登录客服总台系统。
2. 代付订单重置列表中存在至少2条以上的订单数据。</t>
  </si>
  <si>
    <t>1. 进入【财务系统】-&gt;【代付订单重置】页面。
2. 勾选列表中的订单A和订单B。
3. 点击页面上的批量操作按钮，如“批量重置”。
4. 在弹出的窗口中执行操作并确认。
5. 操作完成后，观察页面列表。</t>
  </si>
  <si>
    <t>邮件短信-短信记录</t>
  </si>
  <si>
    <t>手机号搜索兼容</t>
  </si>
  <si>
    <t>1. 已登录客服总台系统。
2. 系统中存在手机号为“13800138000”的短信记录。
3. 系统中存在手机号为“+5513800138000”的短信记录。</t>
  </si>
  <si>
    <t>1. 进入【邮件短信】-&gt;【短信记录】页面。
2. 在“手机”筛选项中，输入不带区号的“13800138000”。
3. 点击“搜索”。
4. 清空搜索框，输入带区号和符号的格式，如“+55 13800138000”。
5. 再次点击“搜索”。</t>
  </si>
  <si>
    <t>1. 第2步搜索后，能成功查询到手机号为“13800138000”的记录。
2. 第4步搜索后，能成功查询到手机号为“+5513800138000”的记录。
3. 两种格式的查询均不受空格、符号影响，能正确匹配对应的记录。</t>
  </si>
  <si>
    <t>玩家管理-玩家列表</t>
  </si>
  <si>
    <t>1. 已登录客服总台系统。
2. 系统中存在提现手机号为“13800138000”的玩家。
3. 系统中存在提现手机号为“+5513800138000”的玩家。</t>
  </si>
  <si>
    <t>1. 进入【玩家管理】-&gt;【玩家列表】页面。
2. 在“提现手机号”筛选项中，输入不带区号的“13800138000”。
3. 点击“搜索”。
4. 清空搜索框，输入带区号和符号的格式，如“+55 13800138000”。
5. 再次点击“搜索”。</t>
  </si>
  <si>
    <t>1. 第2步搜索后，能成功查询到提现手机号为“13800138000”的玩家。
2. 第4步搜索后，能成功查询到提现手机号为“+5513800138000”的玩家。
3. 两种格式的查询均不受空格、符号影响，能正确匹配对应的记录。</t>
  </si>
  <si>
    <t>财务系统-充值记录</t>
  </si>
  <si>
    <t>CPF搜索兼容</t>
  </si>
  <si>
    <t>1. 已登录客服总台系统。
2. 系统中存在CPF为“12345678900”的充值记录。
3. 系统中存在CPF为“123.456.789-00”的充值记录。</t>
  </si>
  <si>
    <t>1. 进入【财务系统】-&gt;【充值记录】页面。
2. 在“巴西cpf”筛选项中，输入纯数字“12345678900”。
3. 点击“搜索”。
4. 清空搜索框，输入带格式符号的“123.456.789-00”。
5. 再次点击“搜索”。</t>
  </si>
  <si>
    <t>1. 第2步搜索后，能成功查询到CPF为“12345678900”和“123.456.789-00”的记录。
2. 第4步搜索后，同样能查询到这两条记录。
3. 系统能忽略格式符号，正确匹配CPF。</t>
  </si>
  <si>
    <t>1. 已登录客服总台系统。
2. 系统中存在注册CPF为“12345678900”的玩家。
3. 系统中存在注册CPF为“123.456.789-00”的玩家。</t>
  </si>
  <si>
    <t>1. 进入【玩家管理】-&gt;【玩家列表】页面。
2. 在“注册CPF查询”筛选项中，输入纯数字“12345678900”。
3. 点击“搜索”。
4. 清空搜索框，输入带格式符号的“123.456.789-00”。
5. 再次点击“搜索”。</t>
  </si>
  <si>
    <t>1. 第2步搜索后，能成功查询到CPF为“12345678900”和“123.456.789-00”的玩家。
2. 第4步搜索后，同样能查询到这两条记录。
3. 系统能忽略格式符号，正确匹配CPF。</t>
  </si>
  <si>
    <t>风控-风控CPF</t>
  </si>
  <si>
    <t>1. 已登录客服总台系统。
2. 风控CPF列表中已存在CPF为“12345678900”和“123.456.789-00”的记录。</t>
  </si>
  <si>
    <t>1. 进入【风控】-&gt;【风控CPF】页面。
2. 在“CPF”搜索框中，输入纯数字“12345678900”。
3. 点击“搜索”。
4. 清空搜索框，输入带格式符号的“123.456.789-00”。
5. 再次点击“搜索”。</t>
  </si>
  <si>
    <t>1. 第2步搜索后，能成功查询到CPF为“12345678900”的记录。
2. 第4步搜索后，能成功查询到CPF为“123.456.789-00”的记录。
3. 系统能正确匹配输入的CPF格式。</t>
  </si>
  <si>
    <t>风控-添加风控CPF</t>
  </si>
  <si>
    <t>CPF输入兼容</t>
  </si>
  <si>
    <t>已登录客服总台系统。</t>
  </si>
  <si>
    <t>1. 进入【风控】-&gt;【风控CPF】页面。
2. 点击“添加风控CPF”按钮。
3. 在“CPF”输入框中，输入带格式符号的“123.456.789-00”。
4. 填写备注信息，点击“立即提交”。</t>
  </si>
  <si>
    <t>1. 提交成功。
2. 在风控CPF列表中能查看到刚才添加的CPF记录，系统能正确识别并保存该CPF。</t>
  </si>
  <si>
    <t>查询加载动画</t>
  </si>
  <si>
    <t>1. 进入【财务系统】-&gt;【提现记录】页面。
2. 设置任意查询条件（如时间范围）。
3. 点击“搜索”按钮。
4. 观察点击搜索按钮后页面的变化。</t>
  </si>
  <si>
    <t>1. 点击“搜索”后，页面上出现清晰的加载动画（如转圈、进度条等）。
2. 加载动画在数据返回后自动消失。
3. 列表成功刷新并展示查询结果。</t>
  </si>
  <si>
    <t>财务系统-通道设置</t>
  </si>
  <si>
    <t>1. 进入【财务系统】-&gt;【通道设置】页面。
2. 设置任意查询条件（如通道名称）。
3. 点击“搜索”按钮。
4. 观察点击搜索按钮后页面的变化。</t>
  </si>
  <si>
    <t>1. 点击“搜索”后，页面上出现清晰的加载动画。
2. 加载动画在数据返回后自动消失。
3. 通道列表成功刷新并展示查询结果。</t>
  </si>
  <si>
    <t>财务系统-首充赠送记录</t>
  </si>
  <si>
    <t>1. 进入【财务系统】-&gt;【首充赠送记录】页面。
2. 设置任意查询条件（如时间范围）。
3. 点击“搜索”按钮。
4. 观察点击搜索按钮后页面的变化。</t>
  </si>
  <si>
    <t>1. 点击“搜索”后，页面上出现清晰的加载动画。
2. 加载动画在数据返回后自动消失。
3. 赠送记录列表成功刷新并展示查询结果。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</si>
</sst>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u/>
      <sz val="11"/>
      <color rgb="FF800080"/>
      <name val="宋体"/>
      <scheme val="minor"/>
    </font>
    <font>
      <u/>
      <sz val="11"/>
      <color rgb="FF0000FF"/>
      <name val="宋体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4" fontId="6" fillId="4" borderId="6" xfId="2" applyNumberFormat="1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7" fillId="4" borderId="7" xfId="2" applyFont="1" applyFill="1" applyBorder="1" applyAlignment="1">
      <alignment horizontal="center" vertical="center"/>
    </xf>
    <xf numFmtId="49" fontId="5" fillId="5" borderId="7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46" fontId="6" fillId="4" borderId="2" xfId="2" applyNumberFormat="1" applyFont="1" applyFill="1" applyBorder="1" applyAlignment="1">
      <alignment horizontal="left" vertical="center"/>
    </xf>
    <xf numFmtId="0" fontId="8" fillId="4" borderId="2" xfId="2" applyFont="1" applyFill="1" applyBorder="1" applyAlignment="1">
      <alignment horizontal="center" vertical="center"/>
    </xf>
    <xf numFmtId="0" fontId="8" fillId="4" borderId="7" xfId="2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5" fillId="5" borderId="7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4" fontId="6" fillId="4" borderId="4" xfId="2" applyNumberFormat="1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left" vertical="center" wrapText="1"/>
    </xf>
    <xf numFmtId="0" fontId="12" fillId="7" borderId="10" xfId="0" applyFont="1" applyFill="1" applyBorder="1" applyAlignment="1">
      <alignment horizontal="left" vertical="center" wrapText="1"/>
    </xf>
    <xf numFmtId="0" fontId="12" fillId="7" borderId="6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69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798195</xdr:colOff>
      <xdr:row>9</xdr:row>
      <xdr:rowOff>47625</xdr:rowOff>
    </xdr:from>
    <xdr:to>
      <xdr:col>8</xdr:col>
      <xdr:colOff>2057400</xdr:colOff>
      <xdr:row>10</xdr:row>
      <xdr:rowOff>314325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6270" y="2317750"/>
          <a:ext cx="1259205" cy="71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918845</xdr:colOff>
      <xdr:row>13</xdr:row>
      <xdr:rowOff>414655</xdr:rowOff>
    </xdr:from>
    <xdr:to>
      <xdr:col>8</xdr:col>
      <xdr:colOff>1885950</xdr:colOff>
      <xdr:row>15</xdr:row>
      <xdr:rowOff>111125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16920" y="4462780"/>
          <a:ext cx="967105" cy="585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383540</xdr:colOff>
      <xdr:row>18</xdr:row>
      <xdr:rowOff>213995</xdr:rowOff>
    </xdr:from>
    <xdr:to>
      <xdr:col>8</xdr:col>
      <xdr:colOff>1057275</xdr:colOff>
      <xdr:row>19</xdr:row>
      <xdr:rowOff>36195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81615" y="6205220"/>
          <a:ext cx="673735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1666875</xdr:colOff>
      <xdr:row>18</xdr:row>
      <xdr:rowOff>214630</xdr:rowOff>
    </xdr:from>
    <xdr:to>
      <xdr:col>8</xdr:col>
      <xdr:colOff>2305050</xdr:colOff>
      <xdr:row>19</xdr:row>
      <xdr:rowOff>43815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64950" y="6205855"/>
          <a:ext cx="638175" cy="273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529590</xdr:colOff>
      <xdr:row>22</xdr:row>
      <xdr:rowOff>204470</xdr:rowOff>
    </xdr:from>
    <xdr:to>
      <xdr:col>8</xdr:col>
      <xdr:colOff>1838325</xdr:colOff>
      <xdr:row>23</xdr:row>
      <xdr:rowOff>298450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227665" y="7973695"/>
          <a:ext cx="1308735" cy="53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774065</xdr:colOff>
      <xdr:row>24</xdr:row>
      <xdr:rowOff>408305</xdr:rowOff>
    </xdr:from>
    <xdr:to>
      <xdr:col>8</xdr:col>
      <xdr:colOff>1961515</xdr:colOff>
      <xdr:row>25</xdr:row>
      <xdr:rowOff>419100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472140" y="9066530"/>
          <a:ext cx="1187450" cy="455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847090</xdr:colOff>
      <xdr:row>38</xdr:row>
      <xdr:rowOff>56515</xdr:rowOff>
    </xdr:from>
    <xdr:to>
      <xdr:col>8</xdr:col>
      <xdr:colOff>2191385</xdr:colOff>
      <xdr:row>39</xdr:row>
      <xdr:rowOff>82550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545165" y="14937740"/>
          <a:ext cx="1344295" cy="470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857250</xdr:colOff>
      <xdr:row>39</xdr:row>
      <xdr:rowOff>427990</xdr:rowOff>
    </xdr:from>
    <xdr:to>
      <xdr:col>8</xdr:col>
      <xdr:colOff>2181225</xdr:colOff>
      <xdr:row>41</xdr:row>
      <xdr:rowOff>168275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555325" y="15753715"/>
          <a:ext cx="1323975" cy="62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608330</xdr:colOff>
      <xdr:row>43</xdr:row>
      <xdr:rowOff>194310</xdr:rowOff>
    </xdr:from>
    <xdr:to>
      <xdr:col>8</xdr:col>
      <xdr:colOff>1695450</xdr:colOff>
      <xdr:row>44</xdr:row>
      <xdr:rowOff>320675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306405" y="17298035"/>
          <a:ext cx="1087120" cy="57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905510</xdr:colOff>
      <xdr:row>47</xdr:row>
      <xdr:rowOff>24765</xdr:rowOff>
    </xdr:from>
    <xdr:to>
      <xdr:col>8</xdr:col>
      <xdr:colOff>2114550</xdr:colOff>
      <xdr:row>48</xdr:row>
      <xdr:rowOff>250825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603585" y="18906490"/>
          <a:ext cx="120904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1406525</xdr:colOff>
      <xdr:row>51</xdr:row>
      <xdr:rowOff>177800</xdr:rowOff>
    </xdr:from>
    <xdr:to>
      <xdr:col>8</xdr:col>
      <xdr:colOff>2562225</xdr:colOff>
      <xdr:row>52</xdr:row>
      <xdr:rowOff>371475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104600" y="20837525"/>
          <a:ext cx="115570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894080</xdr:colOff>
      <xdr:row>56</xdr:row>
      <xdr:rowOff>153035</xdr:rowOff>
    </xdr:from>
    <xdr:to>
      <xdr:col>8</xdr:col>
      <xdr:colOff>1857375</xdr:colOff>
      <xdr:row>57</xdr:row>
      <xdr:rowOff>66675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92155" y="23098760"/>
          <a:ext cx="963295" cy="40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132715</xdr:colOff>
      <xdr:row>27</xdr:row>
      <xdr:rowOff>24130</xdr:rowOff>
    </xdr:from>
    <xdr:to>
      <xdr:col>8</xdr:col>
      <xdr:colOff>1449705</xdr:colOff>
      <xdr:row>28</xdr:row>
      <xdr:rowOff>124460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830790" y="10015855"/>
          <a:ext cx="1316990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511810</xdr:colOff>
      <xdr:row>29</xdr:row>
      <xdr:rowOff>349250</xdr:rowOff>
    </xdr:from>
    <xdr:to>
      <xdr:col>8</xdr:col>
      <xdr:colOff>2076450</xdr:colOff>
      <xdr:row>31</xdr:row>
      <xdr:rowOff>114300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209885" y="11229975"/>
          <a:ext cx="1564640" cy="65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946785</xdr:colOff>
      <xdr:row>33</xdr:row>
      <xdr:rowOff>22225</xdr:rowOff>
    </xdr:from>
    <xdr:to>
      <xdr:col>8</xdr:col>
      <xdr:colOff>1771650</xdr:colOff>
      <xdr:row>34</xdr:row>
      <xdr:rowOff>32385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644860" y="12680950"/>
          <a:ext cx="824865" cy="45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979805</xdr:colOff>
      <xdr:row>35</xdr:row>
      <xdr:rowOff>13335</xdr:rowOff>
    </xdr:from>
    <xdr:to>
      <xdr:col>8</xdr:col>
      <xdr:colOff>1866265</xdr:colOff>
      <xdr:row>36</xdr:row>
      <xdr:rowOff>38735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677880" y="13561060"/>
          <a:ext cx="886460" cy="469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pane ySplit="7" topLeftCell="A8" activePane="bottomLeft" state="frozen"/>
      <selection pane="bottomLeft" activeCell="D18" sqref="D18:F27"/>
    </sheetView>
  </sheetViews>
  <sheetFormatPr defaultColWidth="9" defaultRowHeight="14.25"/>
  <cols>
    <col min="1" max="2" width="25.75" style="3" customWidth="1"/>
    <col min="3" max="3" width="30.625" style="2" customWidth="1"/>
    <col min="4" max="4" width="29.5" style="2" customWidth="1"/>
    <col min="5" max="5" width="55.25" style="2" customWidth="1"/>
    <col min="6" max="6" width="65.25" style="2" customWidth="1"/>
    <col min="7" max="7" width="47.375" style="2" customWidth="1"/>
    <col min="8" max="8" width="18.375" style="4" customWidth="1"/>
    <col min="9" max="9" width="36.125" style="2" customWidth="1"/>
    <col min="10" max="16384" width="9" style="2"/>
  </cols>
  <sheetData>
    <row r="1" spans="1:9" ht="16.5" customHeight="1">
      <c r="A1" s="36" t="s">
        <v>0</v>
      </c>
      <c r="B1" s="37"/>
      <c r="C1" s="37"/>
      <c r="D1" s="37"/>
      <c r="E1" s="37"/>
      <c r="F1" s="37"/>
      <c r="G1" s="5" t="s">
        <v>1</v>
      </c>
      <c r="H1" s="6">
        <f>H2+H3+H4</f>
        <v>11</v>
      </c>
      <c r="I1" s="7"/>
    </row>
    <row r="2" spans="1:9">
      <c r="A2" s="8" t="s">
        <v>2</v>
      </c>
      <c r="B2" s="9"/>
      <c r="C2" s="38"/>
      <c r="D2" s="38"/>
      <c r="E2" s="10" t="s">
        <v>3</v>
      </c>
      <c r="F2" s="11">
        <v>46109</v>
      </c>
      <c r="G2" s="12" t="s">
        <v>4</v>
      </c>
      <c r="H2" s="13">
        <f>COUNTIF(H8:H240,"Pass")</f>
        <v>11</v>
      </c>
      <c r="I2" s="7"/>
    </row>
    <row r="3" spans="1:9" ht="16.5" customHeight="1">
      <c r="A3" s="14" t="s">
        <v>5</v>
      </c>
      <c r="B3" s="9"/>
      <c r="C3" s="38"/>
      <c r="D3" s="38"/>
      <c r="E3" s="15" t="s">
        <v>6</v>
      </c>
      <c r="F3" s="16"/>
      <c r="G3" s="17" t="s">
        <v>7</v>
      </c>
      <c r="H3" s="18">
        <f>COUNTIF(H8:H240,"Fail")</f>
        <v>0</v>
      </c>
      <c r="I3" s="7"/>
    </row>
    <row r="4" spans="1:9" ht="16.5" customHeight="1">
      <c r="A4" s="19" t="s">
        <v>8</v>
      </c>
      <c r="B4" s="20"/>
      <c r="C4" s="38"/>
      <c r="D4" s="38"/>
      <c r="E4" s="21" t="s">
        <v>9</v>
      </c>
      <c r="F4" s="22"/>
      <c r="G4" s="23" t="s">
        <v>10</v>
      </c>
      <c r="H4" s="24">
        <f>COUNTIF(H8:H240,"N/A")</f>
        <v>0</v>
      </c>
      <c r="I4" s="7"/>
    </row>
    <row r="5" spans="1:9" ht="16.5" customHeight="1">
      <c r="A5" s="14" t="s">
        <v>11</v>
      </c>
      <c r="B5" s="9"/>
      <c r="C5" s="38"/>
      <c r="D5" s="38"/>
      <c r="E5" s="15" t="s">
        <v>12</v>
      </c>
      <c r="F5" s="25"/>
      <c r="G5" s="7"/>
      <c r="H5" s="26"/>
      <c r="I5" s="7"/>
    </row>
    <row r="6" spans="1:9" ht="14.25" customHeight="1">
      <c r="A6" s="27" t="s">
        <v>13</v>
      </c>
      <c r="B6" s="28"/>
      <c r="C6" s="39"/>
      <c r="D6" s="40"/>
      <c r="E6" s="41"/>
      <c r="F6" s="41"/>
      <c r="G6" s="29"/>
      <c r="H6" s="26"/>
      <c r="I6" s="7"/>
    </row>
    <row r="7" spans="1:9">
      <c r="A7" s="30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0" t="s">
        <v>19</v>
      </c>
      <c r="G7" s="30" t="s">
        <v>20</v>
      </c>
      <c r="H7" s="30" t="s">
        <v>21</v>
      </c>
      <c r="I7" s="30" t="s">
        <v>22</v>
      </c>
    </row>
    <row r="8" spans="1:9" ht="35.1" customHeight="1">
      <c r="A8" s="42">
        <v>1</v>
      </c>
      <c r="B8" s="43" t="s">
        <v>23</v>
      </c>
      <c r="C8" s="46" t="s">
        <v>24</v>
      </c>
      <c r="D8" s="43" t="s">
        <v>25</v>
      </c>
      <c r="E8" s="47" t="s">
        <v>26</v>
      </c>
      <c r="F8" s="47" t="s">
        <v>27</v>
      </c>
      <c r="G8" s="47" t="s">
        <v>28</v>
      </c>
      <c r="H8" s="50" t="s">
        <v>4</v>
      </c>
      <c r="I8" s="53"/>
    </row>
    <row r="9" spans="1:9" ht="35.1" customHeight="1">
      <c r="A9" s="42"/>
      <c r="B9" s="44"/>
      <c r="C9" s="46"/>
      <c r="D9" s="44"/>
      <c r="E9" s="48"/>
      <c r="F9" s="48"/>
      <c r="G9" s="48"/>
      <c r="H9" s="51"/>
      <c r="I9" s="54"/>
    </row>
    <row r="10" spans="1:9" ht="35.1" customHeight="1">
      <c r="A10" s="42"/>
      <c r="B10" s="44"/>
      <c r="C10" s="46"/>
      <c r="D10" s="44"/>
      <c r="E10" s="48"/>
      <c r="F10" s="48"/>
      <c r="G10" s="48"/>
      <c r="H10" s="51"/>
      <c r="I10" s="54"/>
    </row>
    <row r="11" spans="1:9" ht="35.1" customHeight="1">
      <c r="A11" s="42"/>
      <c r="B11" s="44"/>
      <c r="C11" s="46"/>
      <c r="D11" s="44"/>
      <c r="E11" s="48"/>
      <c r="F11" s="48"/>
      <c r="G11" s="48"/>
      <c r="H11" s="51"/>
      <c r="I11" s="54"/>
    </row>
    <row r="12" spans="1:9" ht="35.1" customHeight="1">
      <c r="A12" s="42"/>
      <c r="B12" s="44"/>
      <c r="C12" s="46"/>
      <c r="D12" s="44"/>
      <c r="E12" s="49"/>
      <c r="F12" s="49"/>
      <c r="G12" s="49"/>
      <c r="H12" s="52"/>
      <c r="I12" s="55"/>
    </row>
    <row r="13" spans="1:9" ht="35.1" customHeight="1">
      <c r="A13" s="42">
        <v>2</v>
      </c>
      <c r="B13" s="44"/>
      <c r="C13" s="46" t="s">
        <v>29</v>
      </c>
      <c r="D13" s="44"/>
      <c r="E13" s="47" t="s">
        <v>30</v>
      </c>
      <c r="F13" s="47" t="s">
        <v>31</v>
      </c>
      <c r="G13" s="47" t="s">
        <v>28</v>
      </c>
      <c r="H13" s="50" t="s">
        <v>4</v>
      </c>
      <c r="I13" s="53"/>
    </row>
    <row r="14" spans="1:9" ht="35.1" customHeight="1">
      <c r="A14" s="42"/>
      <c r="B14" s="44"/>
      <c r="C14" s="46"/>
      <c r="D14" s="44"/>
      <c r="E14" s="48"/>
      <c r="F14" s="48"/>
      <c r="G14" s="48"/>
      <c r="H14" s="51"/>
      <c r="I14" s="54"/>
    </row>
    <row r="15" spans="1:9" ht="35.1" customHeight="1">
      <c r="A15" s="42"/>
      <c r="B15" s="44"/>
      <c r="C15" s="46"/>
      <c r="D15" s="44"/>
      <c r="E15" s="48"/>
      <c r="F15" s="48"/>
      <c r="G15" s="48"/>
      <c r="H15" s="51"/>
      <c r="I15" s="54"/>
    </row>
    <row r="16" spans="1:9" ht="35.1" customHeight="1">
      <c r="A16" s="42"/>
      <c r="B16" s="44"/>
      <c r="C16" s="46"/>
      <c r="D16" s="44"/>
      <c r="E16" s="48"/>
      <c r="F16" s="48"/>
      <c r="G16" s="48"/>
      <c r="H16" s="51"/>
      <c r="I16" s="54"/>
    </row>
    <row r="17" spans="1:9" ht="12.95" customHeight="1">
      <c r="A17" s="42"/>
      <c r="B17" s="44"/>
      <c r="C17" s="46"/>
      <c r="D17" s="45"/>
      <c r="E17" s="49"/>
      <c r="F17" s="49"/>
      <c r="G17" s="49"/>
      <c r="H17" s="52"/>
      <c r="I17" s="55"/>
    </row>
    <row r="18" spans="1:9" ht="35.1" customHeight="1">
      <c r="A18" s="42">
        <v>3</v>
      </c>
      <c r="B18" s="44"/>
      <c r="C18" s="46" t="s">
        <v>32</v>
      </c>
      <c r="D18" s="43" t="s">
        <v>33</v>
      </c>
      <c r="E18" s="47" t="s">
        <v>34</v>
      </c>
      <c r="F18" s="47" t="s">
        <v>35</v>
      </c>
      <c r="G18" s="47" t="s">
        <v>36</v>
      </c>
      <c r="H18" s="50" t="s">
        <v>4</v>
      </c>
      <c r="I18" s="56"/>
    </row>
    <row r="19" spans="1:9" ht="35.1" customHeight="1">
      <c r="A19" s="42"/>
      <c r="B19" s="44"/>
      <c r="C19" s="46"/>
      <c r="D19" s="44"/>
      <c r="E19" s="48"/>
      <c r="F19" s="48"/>
      <c r="G19" s="48"/>
      <c r="H19" s="51"/>
      <c r="I19" s="57"/>
    </row>
    <row r="20" spans="1:9" ht="35.1" customHeight="1">
      <c r="A20" s="42"/>
      <c r="B20" s="44"/>
      <c r="C20" s="46"/>
      <c r="D20" s="44"/>
      <c r="E20" s="48"/>
      <c r="F20" s="48"/>
      <c r="G20" s="48"/>
      <c r="H20" s="51"/>
      <c r="I20" s="57"/>
    </row>
    <row r="21" spans="1:9" ht="35.1" customHeight="1">
      <c r="A21" s="42"/>
      <c r="B21" s="44"/>
      <c r="C21" s="46"/>
      <c r="D21" s="44"/>
      <c r="E21" s="48"/>
      <c r="F21" s="48"/>
      <c r="G21" s="48"/>
      <c r="H21" s="51"/>
      <c r="I21" s="57"/>
    </row>
    <row r="22" spans="1:9" ht="35.1" customHeight="1">
      <c r="A22" s="42"/>
      <c r="B22" s="44"/>
      <c r="C22" s="46"/>
      <c r="D22" s="44"/>
      <c r="E22" s="49"/>
      <c r="F22" s="49"/>
      <c r="G22" s="49"/>
      <c r="H22" s="52"/>
      <c r="I22" s="58"/>
    </row>
    <row r="23" spans="1:9" ht="35.1" customHeight="1">
      <c r="A23" s="42">
        <v>4</v>
      </c>
      <c r="B23" s="44"/>
      <c r="C23" s="46" t="s">
        <v>37</v>
      </c>
      <c r="D23" s="44"/>
      <c r="E23" s="47" t="s">
        <v>38</v>
      </c>
      <c r="F23" s="47" t="s">
        <v>39</v>
      </c>
      <c r="G23" s="47" t="s">
        <v>40</v>
      </c>
      <c r="H23" s="50" t="s">
        <v>4</v>
      </c>
      <c r="I23" s="56"/>
    </row>
    <row r="24" spans="1:9" ht="35.1" customHeight="1">
      <c r="A24" s="42"/>
      <c r="B24" s="44"/>
      <c r="C24" s="46"/>
      <c r="D24" s="44"/>
      <c r="E24" s="48"/>
      <c r="F24" s="48"/>
      <c r="G24" s="48"/>
      <c r="H24" s="51"/>
      <c r="I24" s="57"/>
    </row>
    <row r="25" spans="1:9" ht="35.1" customHeight="1">
      <c r="A25" s="42"/>
      <c r="B25" s="44"/>
      <c r="C25" s="46"/>
      <c r="D25" s="44"/>
      <c r="E25" s="48"/>
      <c r="F25" s="48"/>
      <c r="G25" s="48"/>
      <c r="H25" s="51"/>
      <c r="I25" s="57"/>
    </row>
    <row r="26" spans="1:9" ht="35.1" customHeight="1">
      <c r="A26" s="42"/>
      <c r="B26" s="44"/>
      <c r="C26" s="46"/>
      <c r="D26" s="44"/>
      <c r="E26" s="48"/>
      <c r="F26" s="48"/>
      <c r="G26" s="48"/>
      <c r="H26" s="51"/>
      <c r="I26" s="57"/>
    </row>
    <row r="27" spans="1:9" ht="35.1" customHeight="1">
      <c r="A27" s="42"/>
      <c r="B27" s="44"/>
      <c r="C27" s="46"/>
      <c r="D27" s="45"/>
      <c r="E27" s="49"/>
      <c r="F27" s="49"/>
      <c r="G27" s="49"/>
      <c r="H27" s="52"/>
      <c r="I27" s="58"/>
    </row>
    <row r="28" spans="1:9" ht="35.1" customHeight="1">
      <c r="A28" s="42">
        <v>5</v>
      </c>
      <c r="B28" s="44"/>
      <c r="C28" s="46" t="s">
        <v>41</v>
      </c>
      <c r="D28" s="43" t="s">
        <v>42</v>
      </c>
      <c r="E28" s="47" t="s">
        <v>43</v>
      </c>
      <c r="F28" s="47" t="s">
        <v>44</v>
      </c>
      <c r="G28" s="47" t="s">
        <v>45</v>
      </c>
      <c r="H28" s="50" t="s">
        <v>4</v>
      </c>
      <c r="I28" s="56"/>
    </row>
    <row r="29" spans="1:9" ht="35.1" customHeight="1">
      <c r="A29" s="42"/>
      <c r="B29" s="44"/>
      <c r="C29" s="46"/>
      <c r="D29" s="44"/>
      <c r="E29" s="48"/>
      <c r="F29" s="48"/>
      <c r="G29" s="48"/>
      <c r="H29" s="51"/>
      <c r="I29" s="57"/>
    </row>
    <row r="30" spans="1:9" ht="35.1" customHeight="1">
      <c r="A30" s="42"/>
      <c r="B30" s="44"/>
      <c r="C30" s="46"/>
      <c r="D30" s="44"/>
      <c r="E30" s="48"/>
      <c r="F30" s="48"/>
      <c r="G30" s="48"/>
      <c r="H30" s="51"/>
      <c r="I30" s="57"/>
    </row>
    <row r="31" spans="1:9" ht="35.1" customHeight="1">
      <c r="A31" s="42"/>
      <c r="B31" s="44"/>
      <c r="C31" s="46"/>
      <c r="D31" s="44"/>
      <c r="E31" s="48"/>
      <c r="F31" s="48"/>
      <c r="G31" s="48"/>
      <c r="H31" s="51"/>
      <c r="I31" s="57"/>
    </row>
    <row r="32" spans="1:9" ht="35.1" customHeight="1">
      <c r="A32" s="42"/>
      <c r="B32" s="44"/>
      <c r="C32" s="46"/>
      <c r="D32" s="44"/>
      <c r="E32" s="49"/>
      <c r="F32" s="49"/>
      <c r="G32" s="49"/>
      <c r="H32" s="52"/>
      <c r="I32" s="58"/>
    </row>
    <row r="33" spans="1:9" ht="35.1" customHeight="1">
      <c r="A33" s="42">
        <v>6</v>
      </c>
      <c r="B33" s="44"/>
      <c r="C33" s="46" t="s">
        <v>37</v>
      </c>
      <c r="D33" s="44"/>
      <c r="E33" s="47" t="s">
        <v>46</v>
      </c>
      <c r="F33" s="47" t="s">
        <v>47</v>
      </c>
      <c r="G33" s="47" t="s">
        <v>48</v>
      </c>
      <c r="H33" s="50" t="s">
        <v>4</v>
      </c>
      <c r="I33" s="56"/>
    </row>
    <row r="34" spans="1:9" ht="35.1" customHeight="1">
      <c r="A34" s="42"/>
      <c r="B34" s="44"/>
      <c r="C34" s="46"/>
      <c r="D34" s="44"/>
      <c r="E34" s="48"/>
      <c r="F34" s="48"/>
      <c r="G34" s="48"/>
      <c r="H34" s="51"/>
      <c r="I34" s="57"/>
    </row>
    <row r="35" spans="1:9" ht="35.1" customHeight="1">
      <c r="A35" s="42"/>
      <c r="B35" s="44"/>
      <c r="C35" s="46"/>
      <c r="D35" s="44"/>
      <c r="E35" s="48"/>
      <c r="F35" s="48"/>
      <c r="G35" s="48"/>
      <c r="H35" s="51"/>
      <c r="I35" s="57"/>
    </row>
    <row r="36" spans="1:9" ht="35.1" customHeight="1">
      <c r="A36" s="42"/>
      <c r="B36" s="44"/>
      <c r="C36" s="46"/>
      <c r="D36" s="44"/>
      <c r="E36" s="48"/>
      <c r="F36" s="48"/>
      <c r="G36" s="48"/>
      <c r="H36" s="51"/>
      <c r="I36" s="57"/>
    </row>
    <row r="37" spans="1:9" ht="35.1" customHeight="1">
      <c r="A37" s="42"/>
      <c r="B37" s="44"/>
      <c r="C37" s="46"/>
      <c r="D37" s="44"/>
      <c r="E37" s="49"/>
      <c r="F37" s="49"/>
      <c r="G37" s="49"/>
      <c r="H37" s="52"/>
      <c r="I37" s="58"/>
    </row>
    <row r="38" spans="1:9" ht="35.1" customHeight="1">
      <c r="A38" s="42">
        <v>7</v>
      </c>
      <c r="B38" s="44"/>
      <c r="C38" s="46" t="s">
        <v>49</v>
      </c>
      <c r="D38" s="44"/>
      <c r="E38" s="47" t="s">
        <v>50</v>
      </c>
      <c r="F38" s="47" t="s">
        <v>51</v>
      </c>
      <c r="G38" s="47" t="s">
        <v>52</v>
      </c>
      <c r="H38" s="50" t="s">
        <v>4</v>
      </c>
      <c r="I38" s="56"/>
    </row>
    <row r="39" spans="1:9" ht="35.1" customHeight="1">
      <c r="A39" s="42"/>
      <c r="B39" s="44"/>
      <c r="C39" s="46"/>
      <c r="D39" s="44"/>
      <c r="E39" s="48"/>
      <c r="F39" s="48"/>
      <c r="G39" s="48"/>
      <c r="H39" s="51"/>
      <c r="I39" s="57"/>
    </row>
    <row r="40" spans="1:9" ht="35.1" customHeight="1">
      <c r="A40" s="42"/>
      <c r="B40" s="44"/>
      <c r="C40" s="46"/>
      <c r="D40" s="44"/>
      <c r="E40" s="48"/>
      <c r="F40" s="48"/>
      <c r="G40" s="48"/>
      <c r="H40" s="51"/>
      <c r="I40" s="57"/>
    </row>
    <row r="41" spans="1:9" ht="35.1" customHeight="1">
      <c r="A41" s="42"/>
      <c r="B41" s="44"/>
      <c r="C41" s="46"/>
      <c r="D41" s="44"/>
      <c r="E41" s="48"/>
      <c r="F41" s="48"/>
      <c r="G41" s="48"/>
      <c r="H41" s="51"/>
      <c r="I41" s="57"/>
    </row>
    <row r="42" spans="1:9" ht="35.1" customHeight="1">
      <c r="A42" s="42"/>
      <c r="B42" s="44"/>
      <c r="C42" s="46"/>
      <c r="D42" s="45"/>
      <c r="E42" s="49"/>
      <c r="F42" s="49"/>
      <c r="G42" s="49"/>
      <c r="H42" s="52"/>
      <c r="I42" s="58"/>
    </row>
    <row r="43" spans="1:9" ht="35.1" customHeight="1">
      <c r="A43" s="42">
        <v>8</v>
      </c>
      <c r="B43" s="44"/>
      <c r="C43" s="46" t="s">
        <v>53</v>
      </c>
      <c r="D43" s="46" t="s">
        <v>54</v>
      </c>
      <c r="E43" s="43" t="s">
        <v>55</v>
      </c>
      <c r="F43" s="47" t="s">
        <v>56</v>
      </c>
      <c r="G43" s="47" t="s">
        <v>57</v>
      </c>
      <c r="H43" s="50" t="s">
        <v>4</v>
      </c>
      <c r="I43" s="56"/>
    </row>
    <row r="44" spans="1:9" ht="35.1" customHeight="1">
      <c r="A44" s="42"/>
      <c r="B44" s="44"/>
      <c r="C44" s="46"/>
      <c r="D44" s="46"/>
      <c r="E44" s="44"/>
      <c r="F44" s="48"/>
      <c r="G44" s="48"/>
      <c r="H44" s="51"/>
      <c r="I44" s="57"/>
    </row>
    <row r="45" spans="1:9" ht="35.1" customHeight="1">
      <c r="A45" s="42"/>
      <c r="B45" s="44"/>
      <c r="C45" s="46"/>
      <c r="D45" s="46"/>
      <c r="E45" s="44"/>
      <c r="F45" s="48"/>
      <c r="G45" s="48"/>
      <c r="H45" s="51"/>
      <c r="I45" s="57"/>
    </row>
    <row r="46" spans="1:9" ht="35.1" customHeight="1">
      <c r="A46" s="42"/>
      <c r="B46" s="44"/>
      <c r="C46" s="46"/>
      <c r="D46" s="46"/>
      <c r="E46" s="44"/>
      <c r="F46" s="49"/>
      <c r="G46" s="49"/>
      <c r="H46" s="52"/>
      <c r="I46" s="58"/>
    </row>
    <row r="47" spans="1:9" ht="35.1" customHeight="1">
      <c r="A47" s="42">
        <v>9</v>
      </c>
      <c r="B47" s="44"/>
      <c r="C47" s="46" t="s">
        <v>24</v>
      </c>
      <c r="D47" s="43" t="s">
        <v>58</v>
      </c>
      <c r="E47" s="44"/>
      <c r="F47" s="47" t="s">
        <v>59</v>
      </c>
      <c r="G47" s="47" t="s">
        <v>60</v>
      </c>
      <c r="H47" s="50" t="s">
        <v>4</v>
      </c>
      <c r="I47" s="56"/>
    </row>
    <row r="48" spans="1:9" ht="35.1" customHeight="1">
      <c r="A48" s="42"/>
      <c r="B48" s="44"/>
      <c r="C48" s="46"/>
      <c r="D48" s="44"/>
      <c r="E48" s="44"/>
      <c r="F48" s="48"/>
      <c r="G48" s="48"/>
      <c r="H48" s="51"/>
      <c r="I48" s="57"/>
    </row>
    <row r="49" spans="1:9" ht="35.1" customHeight="1">
      <c r="A49" s="42"/>
      <c r="B49" s="44"/>
      <c r="C49" s="46"/>
      <c r="D49" s="44"/>
      <c r="E49" s="44"/>
      <c r="F49" s="48"/>
      <c r="G49" s="48"/>
      <c r="H49" s="51"/>
      <c r="I49" s="57"/>
    </row>
    <row r="50" spans="1:9" ht="35.1" customHeight="1">
      <c r="A50" s="42"/>
      <c r="B50" s="44"/>
      <c r="C50" s="46"/>
      <c r="D50" s="44"/>
      <c r="E50" s="44"/>
      <c r="F50" s="49"/>
      <c r="G50" s="49"/>
      <c r="H50" s="52"/>
      <c r="I50" s="58"/>
    </row>
    <row r="51" spans="1:9" ht="35.1" customHeight="1">
      <c r="A51" s="42">
        <v>10</v>
      </c>
      <c r="B51" s="44"/>
      <c r="C51" s="46" t="s">
        <v>61</v>
      </c>
      <c r="D51" s="44"/>
      <c r="E51" s="44"/>
      <c r="F51" s="47" t="s">
        <v>62</v>
      </c>
      <c r="G51" s="47" t="s">
        <v>63</v>
      </c>
      <c r="H51" s="50" t="s">
        <v>4</v>
      </c>
      <c r="I51" s="56"/>
    </row>
    <row r="52" spans="1:9" ht="35.1" customHeight="1">
      <c r="A52" s="42"/>
      <c r="B52" s="44"/>
      <c r="C52" s="46"/>
      <c r="D52" s="44"/>
      <c r="E52" s="44"/>
      <c r="F52" s="48"/>
      <c r="G52" s="48"/>
      <c r="H52" s="51"/>
      <c r="I52" s="57"/>
    </row>
    <row r="53" spans="1:9" ht="35.1" customHeight="1">
      <c r="A53" s="42"/>
      <c r="B53" s="44"/>
      <c r="C53" s="46"/>
      <c r="D53" s="44"/>
      <c r="E53" s="44"/>
      <c r="F53" s="48"/>
      <c r="G53" s="48"/>
      <c r="H53" s="51"/>
      <c r="I53" s="57"/>
    </row>
    <row r="54" spans="1:9" ht="35.1" customHeight="1">
      <c r="A54" s="42"/>
      <c r="B54" s="44"/>
      <c r="C54" s="46"/>
      <c r="D54" s="44"/>
      <c r="E54" s="44"/>
      <c r="F54" s="49"/>
      <c r="G54" s="49"/>
      <c r="H54" s="52"/>
      <c r="I54" s="58"/>
    </row>
    <row r="55" spans="1:9" ht="35.1" customHeight="1">
      <c r="A55" s="42">
        <v>11</v>
      </c>
      <c r="B55" s="44"/>
      <c r="C55" s="46" t="s">
        <v>64</v>
      </c>
      <c r="D55" s="44"/>
      <c r="E55" s="44"/>
      <c r="F55" s="47" t="s">
        <v>65</v>
      </c>
      <c r="G55" s="47" t="s">
        <v>66</v>
      </c>
      <c r="H55" s="50" t="s">
        <v>4</v>
      </c>
      <c r="I55" s="56"/>
    </row>
    <row r="56" spans="1:9" ht="39.950000000000003" customHeight="1">
      <c r="A56" s="42"/>
      <c r="B56" s="44"/>
      <c r="C56" s="46"/>
      <c r="D56" s="44"/>
      <c r="E56" s="44"/>
      <c r="F56" s="48"/>
      <c r="G56" s="48"/>
      <c r="H56" s="51"/>
      <c r="I56" s="57"/>
    </row>
    <row r="57" spans="1:9" ht="39" customHeight="1">
      <c r="A57" s="42"/>
      <c r="B57" s="44"/>
      <c r="C57" s="46"/>
      <c r="D57" s="44"/>
      <c r="E57" s="44"/>
      <c r="F57" s="48"/>
      <c r="G57" s="48"/>
      <c r="H57" s="51"/>
      <c r="I57" s="57"/>
    </row>
    <row r="58" spans="1:9" ht="57" customHeight="1">
      <c r="A58" s="42"/>
      <c r="B58" s="45"/>
      <c r="C58" s="46"/>
      <c r="D58" s="45"/>
      <c r="E58" s="45"/>
      <c r="F58" s="49"/>
      <c r="G58" s="49"/>
      <c r="H58" s="52"/>
      <c r="I58" s="58"/>
    </row>
    <row r="59" spans="1:9">
      <c r="A59" s="32"/>
      <c r="B59" s="32"/>
      <c r="C59" s="31"/>
      <c r="D59" s="31"/>
      <c r="E59" s="31"/>
      <c r="F59" s="31"/>
      <c r="G59" s="31"/>
      <c r="H59" s="33"/>
      <c r="I59" s="34"/>
    </row>
    <row r="60" spans="1:9">
      <c r="A60" s="35"/>
      <c r="B60" s="32"/>
      <c r="C60" s="31"/>
      <c r="D60" s="31"/>
      <c r="E60" s="31"/>
      <c r="F60" s="31"/>
      <c r="G60" s="31"/>
      <c r="H60" s="33"/>
      <c r="I60" s="34"/>
    </row>
    <row r="61" spans="1:9">
      <c r="A61" s="35"/>
      <c r="B61" s="32"/>
      <c r="C61" s="31"/>
      <c r="D61" s="31"/>
      <c r="E61" s="31"/>
      <c r="F61" s="31"/>
      <c r="G61" s="31"/>
      <c r="H61" s="33"/>
      <c r="I61" s="34"/>
    </row>
    <row r="62" spans="1:9">
      <c r="A62" s="35"/>
      <c r="B62" s="32"/>
      <c r="C62" s="31"/>
      <c r="D62" s="31"/>
      <c r="E62" s="31"/>
      <c r="F62" s="31"/>
      <c r="G62" s="31"/>
      <c r="H62" s="33"/>
      <c r="I62" s="34"/>
    </row>
    <row r="63" spans="1:9">
      <c r="A63" s="35"/>
      <c r="B63" s="32"/>
      <c r="C63" s="31"/>
      <c r="D63" s="31"/>
      <c r="E63" s="31"/>
      <c r="F63" s="31"/>
      <c r="G63" s="31"/>
      <c r="H63" s="33"/>
      <c r="I63" s="34"/>
    </row>
    <row r="64" spans="1:9">
      <c r="A64" s="35"/>
      <c r="B64" s="32"/>
      <c r="C64" s="31"/>
      <c r="D64" s="31"/>
      <c r="E64" s="31"/>
      <c r="F64" s="31"/>
      <c r="G64" s="31"/>
      <c r="H64" s="33"/>
      <c r="I64" s="34"/>
    </row>
    <row r="65" spans="1:9">
      <c r="A65" s="35"/>
      <c r="B65" s="32"/>
      <c r="C65" s="31"/>
      <c r="D65" s="31"/>
      <c r="E65" s="31"/>
      <c r="F65" s="31"/>
      <c r="G65" s="31"/>
      <c r="H65" s="33"/>
      <c r="I65" s="34"/>
    </row>
    <row r="66" spans="1:9">
      <c r="A66" s="35"/>
      <c r="B66" s="32"/>
      <c r="C66" s="31"/>
      <c r="D66" s="31"/>
      <c r="E66" s="31"/>
      <c r="F66" s="31"/>
      <c r="G66" s="31"/>
      <c r="H66" s="33"/>
      <c r="I66" s="34"/>
    </row>
    <row r="67" spans="1:9">
      <c r="A67" s="35"/>
      <c r="B67" s="32"/>
      <c r="C67" s="31"/>
      <c r="D67" s="31"/>
      <c r="E67" s="31"/>
      <c r="F67" s="31"/>
      <c r="G67" s="31"/>
      <c r="H67" s="33"/>
      <c r="I67" s="34"/>
    </row>
    <row r="68" spans="1:9">
      <c r="A68" s="35"/>
      <c r="B68" s="32"/>
      <c r="C68" s="31"/>
      <c r="D68" s="31"/>
      <c r="E68" s="31"/>
      <c r="F68" s="31"/>
      <c r="G68" s="31"/>
      <c r="H68" s="33"/>
      <c r="I68" s="34"/>
    </row>
    <row r="69" spans="1:9">
      <c r="A69" s="35"/>
      <c r="B69" s="32"/>
      <c r="C69" s="31"/>
      <c r="D69" s="31"/>
      <c r="E69" s="31"/>
      <c r="F69" s="31"/>
      <c r="G69" s="31"/>
      <c r="H69" s="33"/>
      <c r="I69" s="34"/>
    </row>
    <row r="70" spans="1:9">
      <c r="A70" s="35"/>
      <c r="B70" s="32"/>
      <c r="C70" s="31"/>
      <c r="D70" s="31"/>
      <c r="E70" s="31"/>
      <c r="F70" s="31"/>
      <c r="G70" s="31"/>
      <c r="H70" s="33"/>
      <c r="I70" s="34"/>
    </row>
  </sheetData>
  <mergeCells count="86">
    <mergeCell ref="H55:H58"/>
    <mergeCell ref="I8:I12"/>
    <mergeCell ref="I13:I17"/>
    <mergeCell ref="I18:I22"/>
    <mergeCell ref="I23:I27"/>
    <mergeCell ref="I28:I32"/>
    <mergeCell ref="I33:I37"/>
    <mergeCell ref="I38:I42"/>
    <mergeCell ref="I43:I46"/>
    <mergeCell ref="I47:I50"/>
    <mergeCell ref="I51:I54"/>
    <mergeCell ref="I55:I58"/>
    <mergeCell ref="H33:H37"/>
    <mergeCell ref="H38:H42"/>
    <mergeCell ref="H43:H46"/>
    <mergeCell ref="H47:H50"/>
    <mergeCell ref="H51:H54"/>
    <mergeCell ref="H8:H12"/>
    <mergeCell ref="H13:H17"/>
    <mergeCell ref="H18:H22"/>
    <mergeCell ref="H23:H27"/>
    <mergeCell ref="H28:H32"/>
    <mergeCell ref="F51:F54"/>
    <mergeCell ref="F55:F58"/>
    <mergeCell ref="G8:G12"/>
    <mergeCell ref="G13:G17"/>
    <mergeCell ref="G18:G22"/>
    <mergeCell ref="G23:G27"/>
    <mergeCell ref="G28:G32"/>
    <mergeCell ref="G33:G37"/>
    <mergeCell ref="G38:G42"/>
    <mergeCell ref="G43:G46"/>
    <mergeCell ref="G47:G50"/>
    <mergeCell ref="G51:G54"/>
    <mergeCell ref="G55:G58"/>
    <mergeCell ref="F28:F32"/>
    <mergeCell ref="F33:F37"/>
    <mergeCell ref="F38:F42"/>
    <mergeCell ref="F43:F46"/>
    <mergeCell ref="F47:F50"/>
    <mergeCell ref="D28:D42"/>
    <mergeCell ref="D43:D46"/>
    <mergeCell ref="D47:D58"/>
    <mergeCell ref="E8:E12"/>
    <mergeCell ref="E13:E17"/>
    <mergeCell ref="E18:E22"/>
    <mergeCell ref="E23:E27"/>
    <mergeCell ref="E28:E32"/>
    <mergeCell ref="E33:E37"/>
    <mergeCell ref="E38:E42"/>
    <mergeCell ref="E43:E58"/>
    <mergeCell ref="A51:A54"/>
    <mergeCell ref="A55:A58"/>
    <mergeCell ref="B8:B58"/>
    <mergeCell ref="C8:C12"/>
    <mergeCell ref="C13:C17"/>
    <mergeCell ref="C18:C22"/>
    <mergeCell ref="C23:C27"/>
    <mergeCell ref="C28:C32"/>
    <mergeCell ref="C33:C37"/>
    <mergeCell ref="C38:C42"/>
    <mergeCell ref="C43:C46"/>
    <mergeCell ref="C47:C50"/>
    <mergeCell ref="C51:C54"/>
    <mergeCell ref="C55:C58"/>
    <mergeCell ref="A28:A32"/>
    <mergeCell ref="A33:A37"/>
    <mergeCell ref="A38:A42"/>
    <mergeCell ref="A43:A46"/>
    <mergeCell ref="A47:A50"/>
    <mergeCell ref="C6:F6"/>
    <mergeCell ref="A8:A12"/>
    <mergeCell ref="A13:A17"/>
    <mergeCell ref="A18:A22"/>
    <mergeCell ref="A23:A27"/>
    <mergeCell ref="D8:D17"/>
    <mergeCell ref="D18:D27"/>
    <mergeCell ref="F8:F12"/>
    <mergeCell ref="F13:F17"/>
    <mergeCell ref="F18:F22"/>
    <mergeCell ref="F23:F27"/>
    <mergeCell ref="A1:F1"/>
    <mergeCell ref="C2:D2"/>
    <mergeCell ref="C3:D3"/>
    <mergeCell ref="C4:D4"/>
    <mergeCell ref="C5:D5"/>
  </mergeCells>
  <conditionalFormatting sqref="H8">
    <cfRule type="cellIs" dxfId="68" priority="160" stopIfTrue="1" operator="equal">
      <formula>"N/A"</formula>
    </cfRule>
    <cfRule type="cellIs" dxfId="67" priority="161" stopIfTrue="1" operator="equal">
      <formula>"Fail"</formula>
    </cfRule>
    <cfRule type="cellIs" dxfId="66" priority="162" stopIfTrue="1" operator="equal">
      <formula>"Pass"</formula>
    </cfRule>
  </conditionalFormatting>
  <conditionalFormatting sqref="H13">
    <cfRule type="cellIs" dxfId="65" priority="187" stopIfTrue="1" operator="equal">
      <formula>"N/A"</formula>
    </cfRule>
    <cfRule type="cellIs" dxfId="64" priority="188" stopIfTrue="1" operator="equal">
      <formula>"Fail"</formula>
    </cfRule>
    <cfRule type="cellIs" dxfId="63" priority="189" stopIfTrue="1" operator="equal">
      <formula>"Pass"</formula>
    </cfRule>
  </conditionalFormatting>
  <conditionalFormatting sqref="H18">
    <cfRule type="cellIs" dxfId="62" priority="119" stopIfTrue="1" operator="equal">
      <formula>"N/A"</formula>
    </cfRule>
    <cfRule type="cellIs" dxfId="61" priority="139" stopIfTrue="1" operator="equal">
      <formula>"Fail"</formula>
    </cfRule>
    <cfRule type="cellIs" dxfId="60" priority="159" stopIfTrue="1" operator="equal">
      <formula>"Pass"</formula>
    </cfRule>
  </conditionalFormatting>
  <conditionalFormatting sqref="H23">
    <cfRule type="cellIs" dxfId="59" priority="114" stopIfTrue="1" operator="equal">
      <formula>"N/A"</formula>
    </cfRule>
    <cfRule type="cellIs" dxfId="58" priority="134" stopIfTrue="1" operator="equal">
      <formula>"Fail"</formula>
    </cfRule>
    <cfRule type="cellIs" dxfId="57" priority="154" stopIfTrue="1" operator="equal">
      <formula>"Pass"</formula>
    </cfRule>
  </conditionalFormatting>
  <conditionalFormatting sqref="H28">
    <cfRule type="cellIs" dxfId="56" priority="109" stopIfTrue="1" operator="equal">
      <formula>"N/A"</formula>
    </cfRule>
    <cfRule type="cellIs" dxfId="55" priority="129" stopIfTrue="1" operator="equal">
      <formula>"Fail"</formula>
    </cfRule>
    <cfRule type="cellIs" dxfId="54" priority="149" stopIfTrue="1" operator="equal">
      <formula>"Pass"</formula>
    </cfRule>
  </conditionalFormatting>
  <conditionalFormatting sqref="H33">
    <cfRule type="cellIs" dxfId="53" priority="104" stopIfTrue="1" operator="equal">
      <formula>"N/A"</formula>
    </cfRule>
    <cfRule type="cellIs" dxfId="52" priority="124" stopIfTrue="1" operator="equal">
      <formula>"Fail"</formula>
    </cfRule>
    <cfRule type="cellIs" dxfId="51" priority="144" stopIfTrue="1" operator="equal">
      <formula>"Pass"</formula>
    </cfRule>
  </conditionalFormatting>
  <conditionalFormatting sqref="H38">
    <cfRule type="cellIs" dxfId="50" priority="33" stopIfTrue="1" operator="equal">
      <formula>"N/A"</formula>
    </cfRule>
    <cfRule type="cellIs" dxfId="49" priority="66" stopIfTrue="1" operator="equal">
      <formula>"Fail"</formula>
    </cfRule>
    <cfRule type="cellIs" dxfId="48" priority="99" stopIfTrue="1" operator="equal">
      <formula>"Pass"</formula>
    </cfRule>
  </conditionalFormatting>
  <conditionalFormatting sqref="H43">
    <cfRule type="cellIs" dxfId="47" priority="28" stopIfTrue="1" operator="equal">
      <formula>"N/A"</formula>
    </cfRule>
    <cfRule type="cellIs" dxfId="46" priority="61" stopIfTrue="1" operator="equal">
      <formula>"Fail"</formula>
    </cfRule>
    <cfRule type="cellIs" dxfId="45" priority="94" stopIfTrue="1" operator="equal">
      <formula>"Pass"</formula>
    </cfRule>
  </conditionalFormatting>
  <conditionalFormatting sqref="H47">
    <cfRule type="cellIs" dxfId="44" priority="24" stopIfTrue="1" operator="equal">
      <formula>"N/A"</formula>
    </cfRule>
    <cfRule type="cellIs" dxfId="43" priority="57" stopIfTrue="1" operator="equal">
      <formula>"Fail"</formula>
    </cfRule>
    <cfRule type="cellIs" dxfId="42" priority="90" stopIfTrue="1" operator="equal">
      <formula>"Pass"</formula>
    </cfRule>
  </conditionalFormatting>
  <conditionalFormatting sqref="H51">
    <cfRule type="cellIs" dxfId="41" priority="20" stopIfTrue="1" operator="equal">
      <formula>"N/A"</formula>
    </cfRule>
    <cfRule type="cellIs" dxfId="40" priority="53" stopIfTrue="1" operator="equal">
      <formula>"Fail"</formula>
    </cfRule>
    <cfRule type="cellIs" dxfId="39" priority="86" stopIfTrue="1" operator="equal">
      <formula>"Pass"</formula>
    </cfRule>
  </conditionalFormatting>
  <conditionalFormatting sqref="H55">
    <cfRule type="cellIs" dxfId="38" priority="16" stopIfTrue="1" operator="equal">
      <formula>"N/A"</formula>
    </cfRule>
    <cfRule type="cellIs" dxfId="37" priority="49" stopIfTrue="1" operator="equal">
      <formula>"Fail"</formula>
    </cfRule>
    <cfRule type="cellIs" dxfId="36" priority="82" stopIfTrue="1" operator="equal">
      <formula>"Pass"</formula>
    </cfRule>
  </conditionalFormatting>
  <conditionalFormatting sqref="H59">
    <cfRule type="cellIs" dxfId="35" priority="12" stopIfTrue="1" operator="equal">
      <formula>"N/A"</formula>
    </cfRule>
    <cfRule type="cellIs" dxfId="34" priority="45" stopIfTrue="1" operator="equal">
      <formula>"Fail"</formula>
    </cfRule>
    <cfRule type="cellIs" dxfId="33" priority="78" stopIfTrue="1" operator="equal">
      <formula>"Pass"</formula>
    </cfRule>
  </conditionalFormatting>
  <conditionalFormatting sqref="H60">
    <cfRule type="cellIs" dxfId="32" priority="11" stopIfTrue="1" operator="equal">
      <formula>"N/A"</formula>
    </cfRule>
    <cfRule type="cellIs" dxfId="31" priority="44" stopIfTrue="1" operator="equal">
      <formula>"Fail"</formula>
    </cfRule>
    <cfRule type="cellIs" dxfId="30" priority="77" stopIfTrue="1" operator="equal">
      <formula>"Pass"</formula>
    </cfRule>
  </conditionalFormatting>
  <conditionalFormatting sqref="H61">
    <cfRule type="cellIs" dxfId="29" priority="10" stopIfTrue="1" operator="equal">
      <formula>"N/A"</formula>
    </cfRule>
    <cfRule type="cellIs" dxfId="28" priority="43" stopIfTrue="1" operator="equal">
      <formula>"Fail"</formula>
    </cfRule>
    <cfRule type="cellIs" dxfId="27" priority="76" stopIfTrue="1" operator="equal">
      <formula>"Pass"</formula>
    </cfRule>
  </conditionalFormatting>
  <conditionalFormatting sqref="H62">
    <cfRule type="cellIs" dxfId="26" priority="9" stopIfTrue="1" operator="equal">
      <formula>"N/A"</formula>
    </cfRule>
    <cfRule type="cellIs" dxfId="25" priority="42" stopIfTrue="1" operator="equal">
      <formula>"Fail"</formula>
    </cfRule>
    <cfRule type="cellIs" dxfId="24" priority="75" stopIfTrue="1" operator="equal">
      <formula>"Pass"</formula>
    </cfRule>
  </conditionalFormatting>
  <conditionalFormatting sqref="H63">
    <cfRule type="cellIs" dxfId="23" priority="8" stopIfTrue="1" operator="equal">
      <formula>"N/A"</formula>
    </cfRule>
    <cfRule type="cellIs" dxfId="22" priority="41" stopIfTrue="1" operator="equal">
      <formula>"Fail"</formula>
    </cfRule>
    <cfRule type="cellIs" dxfId="21" priority="74" stopIfTrue="1" operator="equal">
      <formula>"Pass"</formula>
    </cfRule>
  </conditionalFormatting>
  <conditionalFormatting sqref="H64">
    <cfRule type="cellIs" dxfId="20" priority="7" stopIfTrue="1" operator="equal">
      <formula>"N/A"</formula>
    </cfRule>
    <cfRule type="cellIs" dxfId="19" priority="40" stopIfTrue="1" operator="equal">
      <formula>"Fail"</formula>
    </cfRule>
    <cfRule type="cellIs" dxfId="18" priority="73" stopIfTrue="1" operator="equal">
      <formula>"Pass"</formula>
    </cfRule>
  </conditionalFormatting>
  <conditionalFormatting sqref="H65">
    <cfRule type="cellIs" dxfId="17" priority="6" stopIfTrue="1" operator="equal">
      <formula>"N/A"</formula>
    </cfRule>
    <cfRule type="cellIs" dxfId="16" priority="39" stopIfTrue="1" operator="equal">
      <formula>"Fail"</formula>
    </cfRule>
    <cfRule type="cellIs" dxfId="15" priority="72" stopIfTrue="1" operator="equal">
      <formula>"Pass"</formula>
    </cfRule>
  </conditionalFormatting>
  <conditionalFormatting sqref="H66">
    <cfRule type="cellIs" dxfId="14" priority="5" stopIfTrue="1" operator="equal">
      <formula>"N/A"</formula>
    </cfRule>
    <cfRule type="cellIs" dxfId="13" priority="38" stopIfTrue="1" operator="equal">
      <formula>"Fail"</formula>
    </cfRule>
    <cfRule type="cellIs" dxfId="12" priority="71" stopIfTrue="1" operator="equal">
      <formula>"Pass"</formula>
    </cfRule>
  </conditionalFormatting>
  <conditionalFormatting sqref="H67">
    <cfRule type="cellIs" dxfId="11" priority="4" stopIfTrue="1" operator="equal">
      <formula>"N/A"</formula>
    </cfRule>
    <cfRule type="cellIs" dxfId="10" priority="37" stopIfTrue="1" operator="equal">
      <formula>"Fail"</formula>
    </cfRule>
    <cfRule type="cellIs" dxfId="9" priority="70" stopIfTrue="1" operator="equal">
      <formula>"Pass"</formula>
    </cfRule>
  </conditionalFormatting>
  <conditionalFormatting sqref="H68">
    <cfRule type="cellIs" dxfId="8" priority="3" stopIfTrue="1" operator="equal">
      <formula>"N/A"</formula>
    </cfRule>
    <cfRule type="cellIs" dxfId="7" priority="36" stopIfTrue="1" operator="equal">
      <formula>"Fail"</formula>
    </cfRule>
    <cfRule type="cellIs" dxfId="6" priority="69" stopIfTrue="1" operator="equal">
      <formula>"Pass"</formula>
    </cfRule>
  </conditionalFormatting>
  <conditionalFormatting sqref="H69">
    <cfRule type="cellIs" dxfId="5" priority="2" stopIfTrue="1" operator="equal">
      <formula>"N/A"</formula>
    </cfRule>
    <cfRule type="cellIs" dxfId="4" priority="35" stopIfTrue="1" operator="equal">
      <formula>"Fail"</formula>
    </cfRule>
    <cfRule type="cellIs" dxfId="3" priority="68" stopIfTrue="1" operator="equal">
      <formula>"Pass"</formula>
    </cfRule>
  </conditionalFormatting>
  <conditionalFormatting sqref="H70">
    <cfRule type="cellIs" dxfId="2" priority="1" stopIfTrue="1" operator="equal">
      <formula>"N/A"</formula>
    </cfRule>
    <cfRule type="cellIs" dxfId="1" priority="34" stopIfTrue="1" operator="equal">
      <formula>"Fail"</formula>
    </cfRule>
    <cfRule type="cellIs" dxfId="0" priority="67" stopIfTrue="1" operator="equal">
      <formula>"Pass"</formula>
    </cfRule>
  </conditionalFormatting>
  <dataValidations count="1">
    <dataValidation type="list" allowBlank="1" showInputMessage="1" showErrorMessage="1" sqref="H8:H70" xr:uid="{00000000-0002-0000-0000-000000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>
      <selection activeCell="A19" sqref="A19:XFD38"/>
    </sheetView>
  </sheetViews>
  <sheetFormatPr defaultColWidth="9" defaultRowHeight="13.5"/>
  <cols>
    <col min="3" max="3" width="9.25" customWidth="1"/>
  </cols>
  <sheetData>
    <row r="1" spans="1:14">
      <c r="C1" s="59"/>
      <c r="D1" s="59"/>
      <c r="E1" s="59"/>
      <c r="F1" s="59"/>
      <c r="G1" s="59"/>
      <c r="H1" s="59"/>
      <c r="I1" s="59"/>
      <c r="J1" s="59"/>
      <c r="K1" s="59"/>
      <c r="L1" s="1"/>
      <c r="M1" s="1"/>
      <c r="N1" s="1"/>
    </row>
    <row r="2" spans="1:14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4" spans="1:14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</sheetData>
  <mergeCells count="3">
    <mergeCell ref="C1:K1"/>
    <mergeCell ref="A2:N2"/>
    <mergeCell ref="A4:M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2026-04-02T10:13:03Z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