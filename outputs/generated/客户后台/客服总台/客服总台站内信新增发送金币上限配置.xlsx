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7"/>
  <workbookPr/>
  <xr:revisionPtr revIDLastSave="1" documentId="11_36F93817A44A79FF5F2CD175F37EDF2F15E4D55D" xr6:coauthVersionLast="47" xr6:coauthVersionMax="47" xr10:uidLastSave="{45D20F6B-C33A-4485-AE18-B5CC6CA9B9C2}"/>
  <bookViews>
    <workbookView xWindow="0" yWindow="0" windowWidth="27945" windowHeight="12375" xr2:uid="{00000000-000D-0000-FFFF-FFFF00000000}"/>
  </bookViews>
  <sheets>
    <sheet name="客服总台站内信新增发送金币上限配置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/>
</calcChain>
</file>

<file path=xl/sharedStrings.xml><?xml version="1.0" encoding="utf-8"?>
<sst xmlns="http://schemas.openxmlformats.org/spreadsheetml/2006/main" count="96" uniqueCount="77">
  <si>
    <t xml:space="preserve"> 客服总台站内信新增发送金币上限配置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</si>
  <si>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</si>
  <si>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</si>
  <si>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</si>
  <si>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</si>
  <si>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</si>
  <si>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</si>
  <si>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</si>
  <si>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</si>
  <si>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</si>
  <si>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</si>
  <si>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</si>
  <si>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</si>
  <si>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</si>
  <si>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</si>
  <si>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</si>
  <si>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</si>
  <si>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</si>
  <si>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</si>
  <si>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</si>
  <si>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</si>
  <si>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</si>
  <si>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</si>
  <si>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客服总台</t>
  </si>
  <si>
    <t>权限组-操作授权</t>
  </si>
  <si>
    <t>新增配置项显示</t>
  </si>
  <si>
    <t>1. 管理员登录客服总台
2. 拥有权限组管理权限</t>
  </si>
  <si>
    <t>1. 进入【设置】-【权限组】
2. 选择某个权限组，进入【操作授权】</t>
  </si>
  <si>
    <t>在"总控制上限"和"单人上限控制"中均显示【站内信发送金币上限】配置项，包含开关和数值输入框</t>
  </si>
  <si>
    <t>默认配置状态</t>
  </si>
  <si>
    <t>1. 管理员登录客服总台
2. 进入操作授权页面</t>
  </si>
  <si>
    <t>查看新权限组的【站内信发送金币上限】配置</t>
  </si>
  <si>
    <t>开关默认状态为"关"，数值输入框默认值为0</t>
  </si>
  <si>
    <t>数值输入限制</t>
  </si>
  <si>
    <t>1. 管理员登录客服总台
2. 进入操作授权页面，开启开关</t>
  </si>
  <si>
    <t>在数值输入框中输入非数字字符</t>
  </si>
  <si>
    <t>输入框不接受非数字字符</t>
  </si>
  <si>
    <t>数值超限自动调整</t>
  </si>
  <si>
    <t>1. 在数值输入框中输入100000000（超过8位数）
2. 点击保存</t>
  </si>
  <si>
    <t>提示‘站内信发送金币（权限组上限）配置范围错误，最小值为：0，最大值为：99999999’</t>
  </si>
  <si>
    <t>站内信发送</t>
  </si>
  <si>
    <t>发送金币-开关关闭不限制</t>
  </si>
  <si>
    <t>1. 管理员登录客服总台
2. 管理员所在权限组的【站内信发送金币上限】开关为"关"
3. 管理员有发送站内信权限</t>
  </si>
  <si>
    <t>1. 进入发送站内信页面
2. 输入玩家UID
3. 设置附件金币为1000
4. 发送</t>
  </si>
  <si>
    <t>发送成功，不进行上限检查</t>
  </si>
  <si>
    <t>单人上限检查-未超限</t>
  </si>
  <si>
    <t>1. 管理员登录客服总台
2. 管理员所在权限组的【站内信发送金币上限】开关为"开"，单人上限设为1000
3. 管理员今日已发送金币为0</t>
  </si>
  <si>
    <t>1. 发送站内信给1个玩家，附件金币为100
2. 发送</t>
  </si>
  <si>
    <t>发送成功</t>
  </si>
  <si>
    <t>单人上限检查-超限提示</t>
  </si>
  <si>
    <t>1. 管理员登录客服总台
2. 管理员所在权限组的【站内信发送金币上限】开关为"开"，单人上限设为1000
3. 管理员今日已发送金币为800</t>
  </si>
  <si>
    <t>1. 发送站内信给1个玩家，附件金币为1000
2. 发送</t>
  </si>
  <si>
    <t>发送失败，提示"发送金币已达上限"</t>
  </si>
  <si>
    <t>总控制上限检查-未超限</t>
  </si>
  <si>
    <t>1. 管理员A、管理员B在同一权限组
2. 权限组的【站内信发送金币上限】总控制开关为"开"，总上限设为5000
3. 该组今日已发送金币总和为3000
4. 管理员A的单人上限为2000，管理员A已发送500</t>
  </si>
  <si>
    <t>1. 管理员A登录，发送站内信给1个玩家，附件金币为1000
2. 发送</t>
  </si>
  <si>
    <t>总控制上限检查-超限提示</t>
  </si>
  <si>
    <t>1. 管理员A、管理员B在同一权限组
2. 权限组的【站内信发送金币上限】总控制开关为"开"，总上限设为5000
3. 该组今日已发送金币总和为4500
4. 管理员A的单人上限为2000，用户A已发送500</t>
  </si>
  <si>
    <t>判断顺序-先单人后总控</t>
  </si>
  <si>
    <t>1. 管理员A在权限组
2. 权限组的【站内信发送金币上限】总控制开关为"开"，总上限设为5000
3. 管理员A的单人上限为1000
4. 管理员A已发送金币为900，权限组已发送总和为4000</t>
  </si>
  <si>
    <t>1. 管理员A登录，发送站内信给1个玩家，附件金币为200
2. 发送</t>
  </si>
  <si>
    <t>发送失败，提示"发送金币已达上限"（先判断单人上限已超过，不再判断总控）</t>
  </si>
  <si>
    <t>计算方式-选择玩家</t>
  </si>
  <si>
    <t>1. 管理员A登录客服总台，单人上限为1000
2. 管理员A已发送金币为0</t>
  </si>
  <si>
    <t>1. 发送站内信，通过"选择玩家"功能选取5个玩家
2. 设置附件金币为150
3. 发送</t>
  </si>
  <si>
    <t>系统计算：5*150=750，750&lt;1000，发送成功</t>
  </si>
  <si>
    <t>计算方式-批量导入</t>
  </si>
  <si>
    <t>1. 管理员A登录客服总台，单人上限为1000
2. 管理员A已发送金币为0
3. 准备导入文件，包含4个玩家，各赠送金币分别为100,200,150,250</t>
  </si>
  <si>
    <t>1. 发送站内信，通过"批量导入"上传文件
2. 发送</t>
  </si>
  <si>
    <t>系统计算：100+200+150+250=700，700&lt;1000，发送成功</t>
  </si>
  <si>
    <t>包含无效ID计算</t>
  </si>
  <si>
    <t>1. 发送站内信，手动输入3个有效UID和2个无效UID
2. 设置附件金币为200
3. 发送</t>
  </si>
  <si>
    <t>系统计算：5*200=1000，1000=1000，发送成功（无效ID也计入数量）</t>
  </si>
  <si>
    <t>上限值为0的限制</t>
  </si>
  <si>
    <t>1. 管理员A登录客服总台
2. 管理员A所在权限组的【站内信发送金币上限】开关为"开"，单人上限设为0</t>
  </si>
  <si>
    <t>1. 尝试发送任何包含金币的站内信</t>
  </si>
  <si>
    <t>发送失败，提示"发送金币已达上限"，无法发送任何金币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</si>
</sst>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</font>
    <font>
      <sz val="12"/>
      <color rgb="FF0F1115"/>
      <name val="宋体"/>
      <charset val="134"/>
    </font>
    <font>
      <sz val="12"/>
      <color rgb="FF000000"/>
      <name val="宋体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1" applyNumberFormat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1" applyNumberFormat="1" applyFont="1" applyFill="1" applyBorder="1" applyAlignment="1">
      <alignment horizontal="left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>
      <alignment vertical="center"/>
    </xf>
    <xf numFmtId="0" fontId="3" fillId="5" borderId="7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14" fontId="4" fillId="4" borderId="4" xfId="1" applyNumberFormat="1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10" fillId="7" borderId="11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11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2">
    <cellStyle name="常规" xfId="0" builtinId="0"/>
    <cellStyle name="一般 10" xfId="1" xr:uid="{00000000-0005-0000-0000-000031000000}"/>
  </cellStyles>
  <dxfs count="42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1012190</xdr:colOff>
      <xdr:row>13</xdr:row>
      <xdr:rowOff>208915</xdr:rowOff>
    </xdr:from>
    <xdr:to>
      <xdr:col>8</xdr:col>
      <xdr:colOff>1952625</xdr:colOff>
      <xdr:row>14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0265" y="5019040"/>
          <a:ext cx="940435" cy="476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811530</xdr:colOff>
      <xdr:row>16</xdr:row>
      <xdr:rowOff>190500</xdr:rowOff>
    </xdr:from>
    <xdr:to>
      <xdr:col>8</xdr:col>
      <xdr:colOff>1908810</xdr:colOff>
      <xdr:row>17</xdr:row>
      <xdr:rowOff>375285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09605" y="6715125"/>
          <a:ext cx="1097280" cy="756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284480</xdr:colOff>
      <xdr:row>7</xdr:row>
      <xdr:rowOff>295275</xdr:rowOff>
    </xdr:from>
    <xdr:to>
      <xdr:col>8</xdr:col>
      <xdr:colOff>904875</xdr:colOff>
      <xdr:row>8</xdr:row>
      <xdr:rowOff>295275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982555" y="1676400"/>
          <a:ext cx="62039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1600200</xdr:colOff>
      <xdr:row>7</xdr:row>
      <xdr:rowOff>380365</xdr:rowOff>
    </xdr:from>
    <xdr:to>
      <xdr:col>8</xdr:col>
      <xdr:colOff>2276475</xdr:colOff>
      <xdr:row>8</xdr:row>
      <xdr:rowOff>285750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298275" y="1761490"/>
          <a:ext cx="676275" cy="476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229870</xdr:colOff>
      <xdr:row>9</xdr:row>
      <xdr:rowOff>257175</xdr:rowOff>
    </xdr:from>
    <xdr:to>
      <xdr:col>8</xdr:col>
      <xdr:colOff>895985</xdr:colOff>
      <xdr:row>10</xdr:row>
      <xdr:rowOff>266700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927945" y="2781300"/>
          <a:ext cx="666115" cy="58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1521460</xdr:colOff>
      <xdr:row>9</xdr:row>
      <xdr:rowOff>287020</xdr:rowOff>
    </xdr:from>
    <xdr:to>
      <xdr:col>8</xdr:col>
      <xdr:colOff>2162175</xdr:colOff>
      <xdr:row>10</xdr:row>
      <xdr:rowOff>257175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219535" y="2811145"/>
          <a:ext cx="640715" cy="541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381000</xdr:colOff>
      <xdr:row>11</xdr:row>
      <xdr:rowOff>390525</xdr:rowOff>
    </xdr:from>
    <xdr:to>
      <xdr:col>8</xdr:col>
      <xdr:colOff>1001395</xdr:colOff>
      <xdr:row>12</xdr:row>
      <xdr:rowOff>390525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079075" y="4057650"/>
          <a:ext cx="62039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1704975</xdr:colOff>
      <xdr:row>11</xdr:row>
      <xdr:rowOff>438150</xdr:rowOff>
    </xdr:from>
    <xdr:to>
      <xdr:col>8</xdr:col>
      <xdr:colOff>2381250</xdr:colOff>
      <xdr:row>12</xdr:row>
      <xdr:rowOff>343535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403050" y="4105275"/>
          <a:ext cx="676275" cy="476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904240</xdr:colOff>
      <xdr:row>20</xdr:row>
      <xdr:rowOff>47625</xdr:rowOff>
    </xdr:from>
    <xdr:to>
      <xdr:col>8</xdr:col>
      <xdr:colOff>2076450</xdr:colOff>
      <xdr:row>21</xdr:row>
      <xdr:rowOff>266700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602315" y="8858250"/>
          <a:ext cx="1172210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692785</xdr:colOff>
      <xdr:row>26</xdr:row>
      <xdr:rowOff>28575</xdr:rowOff>
    </xdr:from>
    <xdr:to>
      <xdr:col>8</xdr:col>
      <xdr:colOff>2286000</xdr:colOff>
      <xdr:row>27</xdr:row>
      <xdr:rowOff>561975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390860" y="12268200"/>
          <a:ext cx="159321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946150</xdr:colOff>
      <xdr:row>23</xdr:row>
      <xdr:rowOff>27940</xdr:rowOff>
    </xdr:from>
    <xdr:to>
      <xdr:col>8</xdr:col>
      <xdr:colOff>2019300</xdr:colOff>
      <xdr:row>24</xdr:row>
      <xdr:rowOff>245110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644225" y="10553065"/>
          <a:ext cx="1073150" cy="788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1036320</xdr:colOff>
      <xdr:row>30</xdr:row>
      <xdr:rowOff>409575</xdr:rowOff>
    </xdr:from>
    <xdr:to>
      <xdr:col>8</xdr:col>
      <xdr:colOff>1905000</xdr:colOff>
      <xdr:row>31</xdr:row>
      <xdr:rowOff>476250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734395" y="14935200"/>
          <a:ext cx="868680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1009650</xdr:colOff>
      <xdr:row>35</xdr:row>
      <xdr:rowOff>28575</xdr:rowOff>
    </xdr:from>
    <xdr:to>
      <xdr:col>8</xdr:col>
      <xdr:colOff>1878330</xdr:colOff>
      <xdr:row>36</xdr:row>
      <xdr:rowOff>95250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707725" y="17411700"/>
          <a:ext cx="868680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5715</xdr:colOff>
      <xdr:row>37</xdr:row>
      <xdr:rowOff>465455</xdr:rowOff>
    </xdr:from>
    <xdr:to>
      <xdr:col>8</xdr:col>
      <xdr:colOff>847725</xdr:colOff>
      <xdr:row>38</xdr:row>
      <xdr:rowOff>466725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703790" y="18991580"/>
          <a:ext cx="842010" cy="572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1503680</xdr:colOff>
      <xdr:row>38</xdr:row>
      <xdr:rowOff>34290</xdr:rowOff>
    </xdr:from>
    <xdr:to>
      <xdr:col>8</xdr:col>
      <xdr:colOff>2390775</xdr:colOff>
      <xdr:row>39</xdr:row>
      <xdr:rowOff>133350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201755" y="19131915"/>
          <a:ext cx="887095" cy="67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1003300</xdr:colOff>
      <xdr:row>46</xdr:row>
      <xdr:rowOff>304800</xdr:rowOff>
    </xdr:from>
    <xdr:to>
      <xdr:col>8</xdr:col>
      <xdr:colOff>1762125</xdr:colOff>
      <xdr:row>47</xdr:row>
      <xdr:rowOff>276225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701375" y="23974425"/>
          <a:ext cx="75882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130810</xdr:colOff>
      <xdr:row>43</xdr:row>
      <xdr:rowOff>133350</xdr:rowOff>
    </xdr:from>
    <xdr:to>
      <xdr:col>8</xdr:col>
      <xdr:colOff>1010285</xdr:colOff>
      <xdr:row>43</xdr:row>
      <xdr:rowOff>541020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828885" y="22088475"/>
          <a:ext cx="879475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1256665</xdr:colOff>
      <xdr:row>43</xdr:row>
      <xdr:rowOff>158115</xdr:rowOff>
    </xdr:from>
    <xdr:to>
      <xdr:col>8</xdr:col>
      <xdr:colOff>2238375</xdr:colOff>
      <xdr:row>44</xdr:row>
      <xdr:rowOff>57150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954740" y="22113240"/>
          <a:ext cx="981710" cy="470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1628775</xdr:colOff>
      <xdr:row>41</xdr:row>
      <xdr:rowOff>81915</xdr:rowOff>
    </xdr:from>
    <xdr:to>
      <xdr:col>8</xdr:col>
      <xdr:colOff>2457450</xdr:colOff>
      <xdr:row>42</xdr:row>
      <xdr:rowOff>28575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326850" y="20894040"/>
          <a:ext cx="828675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366395</xdr:colOff>
      <xdr:row>41</xdr:row>
      <xdr:rowOff>237490</xdr:rowOff>
    </xdr:from>
    <xdr:to>
      <xdr:col>8</xdr:col>
      <xdr:colOff>1019175</xdr:colOff>
      <xdr:row>42</xdr:row>
      <xdr:rowOff>228600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064470" y="21049615"/>
          <a:ext cx="652780" cy="5626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pane ySplit="7" topLeftCell="D8" activePane="bottomLeft" state="frozen"/>
      <selection pane="bottomLeft" activeCell="E47" sqref="E47:E48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1" customWidth="1"/>
    <col min="9" max="9" width="36.125" style="1" customWidth="1"/>
    <col min="10" max="16384" width="9" style="1"/>
  </cols>
  <sheetData>
    <row r="1" spans="1:9" ht="16.5" customHeight="1">
      <c r="A1" s="29" t="s">
        <v>0</v>
      </c>
      <c r="B1" s="30"/>
      <c r="C1" s="30"/>
      <c r="D1" s="30"/>
      <c r="E1" s="30"/>
      <c r="F1" s="30"/>
      <c r="G1" s="3" t="s">
        <v>1</v>
      </c>
      <c r="H1" s="4">
        <f>H2+H3+H4</f>
        <v>14</v>
      </c>
      <c r="I1" s="5"/>
    </row>
    <row r="2" spans="1:9">
      <c r="A2" s="6" t="s">
        <v>2</v>
      </c>
      <c r="B2" s="7"/>
      <c r="C2" s="31"/>
      <c r="D2" s="31"/>
      <c r="E2" s="8" t="s">
        <v>3</v>
      </c>
      <c r="F2" s="9">
        <v>46051</v>
      </c>
      <c r="G2" s="10" t="s">
        <v>4</v>
      </c>
      <c r="H2" s="11">
        <f>COUNTIF(H8:H205,"Pass")</f>
        <v>14</v>
      </c>
      <c r="I2" s="5"/>
    </row>
    <row r="3" spans="1:9" ht="16.5" customHeight="1">
      <c r="A3" s="12" t="s">
        <v>5</v>
      </c>
      <c r="B3" s="7"/>
      <c r="C3" s="31"/>
      <c r="D3" s="31"/>
      <c r="E3" s="13" t="s">
        <v>6</v>
      </c>
      <c r="F3" s="14"/>
      <c r="G3" s="15" t="s">
        <v>7</v>
      </c>
      <c r="H3" s="16">
        <f>COUNTIF(H8:H205,"Fail")</f>
        <v>0</v>
      </c>
      <c r="I3" s="5"/>
    </row>
    <row r="4" spans="1:9" ht="16.5" customHeight="1">
      <c r="A4" s="17" t="s">
        <v>8</v>
      </c>
      <c r="B4" s="18"/>
      <c r="C4" s="31"/>
      <c r="D4" s="31"/>
      <c r="E4" s="19" t="s">
        <v>9</v>
      </c>
      <c r="F4" s="20"/>
      <c r="G4" s="21" t="s">
        <v>10</v>
      </c>
      <c r="H4" s="22">
        <f>COUNTIF(H8:H205,"N/A")</f>
        <v>0</v>
      </c>
      <c r="I4" s="5"/>
    </row>
    <row r="5" spans="1:9" ht="16.5" customHeight="1">
      <c r="A5" s="12" t="s">
        <v>11</v>
      </c>
      <c r="B5" s="7"/>
      <c r="C5" s="31"/>
      <c r="D5" s="31"/>
      <c r="E5" s="13" t="s">
        <v>12</v>
      </c>
      <c r="F5" s="23"/>
      <c r="G5" s="5"/>
      <c r="H5" s="24"/>
      <c r="I5" s="5"/>
    </row>
    <row r="6" spans="1:9">
      <c r="A6" s="25" t="s">
        <v>13</v>
      </c>
      <c r="B6" s="26"/>
      <c r="C6" s="32"/>
      <c r="D6" s="33"/>
      <c r="E6" s="34"/>
      <c r="F6" s="34"/>
      <c r="G6" s="27"/>
      <c r="H6" s="24"/>
      <c r="I6" s="5"/>
    </row>
    <row r="7" spans="1:9" ht="14.25" customHeight="1">
      <c r="A7" s="28" t="s">
        <v>14</v>
      </c>
      <c r="B7" s="28" t="s">
        <v>15</v>
      </c>
      <c r="C7" s="28" t="s">
        <v>16</v>
      </c>
      <c r="D7" s="28" t="s">
        <v>17</v>
      </c>
      <c r="E7" s="28" t="s">
        <v>18</v>
      </c>
      <c r="F7" s="28" t="s">
        <v>19</v>
      </c>
      <c r="G7" s="28" t="s">
        <v>20</v>
      </c>
      <c r="H7" s="28" t="s">
        <v>21</v>
      </c>
      <c r="I7" s="28" t="s">
        <v>22</v>
      </c>
    </row>
    <row r="8" spans="1:9" ht="45" customHeight="1">
      <c r="A8" s="35">
        <v>1</v>
      </c>
      <c r="B8" s="36" t="s">
        <v>23</v>
      </c>
      <c r="C8" s="36" t="s">
        <v>24</v>
      </c>
      <c r="D8" s="39" t="s">
        <v>25</v>
      </c>
      <c r="E8" s="40" t="s">
        <v>26</v>
      </c>
      <c r="F8" s="40" t="s">
        <v>27</v>
      </c>
      <c r="G8" s="39" t="s">
        <v>28</v>
      </c>
      <c r="H8" s="43" t="s">
        <v>4</v>
      </c>
      <c r="I8" s="51"/>
    </row>
    <row r="9" spans="1:9" ht="45" customHeight="1">
      <c r="A9" s="35"/>
      <c r="B9" s="37"/>
      <c r="C9" s="37"/>
      <c r="D9" s="39"/>
      <c r="E9" s="41"/>
      <c r="F9" s="41"/>
      <c r="G9" s="39"/>
      <c r="H9" s="44"/>
      <c r="I9" s="52"/>
    </row>
    <row r="10" spans="1:9" ht="45" customHeight="1">
      <c r="A10" s="35">
        <v>2</v>
      </c>
      <c r="B10" s="37"/>
      <c r="C10" s="37"/>
      <c r="D10" s="39" t="s">
        <v>29</v>
      </c>
      <c r="E10" s="40" t="s">
        <v>30</v>
      </c>
      <c r="F10" s="39" t="s">
        <v>31</v>
      </c>
      <c r="G10" s="39" t="s">
        <v>32</v>
      </c>
      <c r="H10" s="43" t="s">
        <v>4</v>
      </c>
      <c r="I10" s="51"/>
    </row>
    <row r="11" spans="1:9" ht="45" customHeight="1">
      <c r="A11" s="35"/>
      <c r="B11" s="37"/>
      <c r="C11" s="37"/>
      <c r="D11" s="39"/>
      <c r="E11" s="41"/>
      <c r="F11" s="39"/>
      <c r="G11" s="39"/>
      <c r="H11" s="44"/>
      <c r="I11" s="52"/>
    </row>
    <row r="12" spans="1:9" ht="45" customHeight="1">
      <c r="A12" s="35">
        <v>3</v>
      </c>
      <c r="B12" s="37"/>
      <c r="C12" s="37"/>
      <c r="D12" s="39" t="s">
        <v>33</v>
      </c>
      <c r="E12" s="40" t="s">
        <v>34</v>
      </c>
      <c r="F12" s="39" t="s">
        <v>35</v>
      </c>
      <c r="G12" s="39" t="s">
        <v>36</v>
      </c>
      <c r="H12" s="43" t="s">
        <v>4</v>
      </c>
      <c r="I12" s="46"/>
    </row>
    <row r="13" spans="1:9" ht="45" customHeight="1">
      <c r="A13" s="35"/>
      <c r="B13" s="37"/>
      <c r="C13" s="37"/>
      <c r="D13" s="39"/>
      <c r="E13" s="41"/>
      <c r="F13" s="39"/>
      <c r="G13" s="39"/>
      <c r="H13" s="44"/>
      <c r="I13" s="47"/>
    </row>
    <row r="14" spans="1:9" ht="45" customHeight="1">
      <c r="A14" s="35">
        <v>4</v>
      </c>
      <c r="B14" s="37"/>
      <c r="C14" s="37"/>
      <c r="D14" s="39" t="s">
        <v>37</v>
      </c>
      <c r="E14" s="40" t="s">
        <v>34</v>
      </c>
      <c r="F14" s="40" t="s">
        <v>38</v>
      </c>
      <c r="G14" s="39" t="s">
        <v>39</v>
      </c>
      <c r="H14" s="43" t="s">
        <v>4</v>
      </c>
      <c r="I14" s="48"/>
    </row>
    <row r="15" spans="1:9" ht="45" customHeight="1">
      <c r="A15" s="35"/>
      <c r="B15" s="37"/>
      <c r="C15" s="38"/>
      <c r="D15" s="39"/>
      <c r="E15" s="41"/>
      <c r="F15" s="41"/>
      <c r="G15" s="39"/>
      <c r="H15" s="44"/>
      <c r="I15" s="49"/>
    </row>
    <row r="16" spans="1:9" ht="45" customHeight="1">
      <c r="A16" s="35">
        <v>5</v>
      </c>
      <c r="B16" s="37"/>
      <c r="C16" s="36" t="s">
        <v>40</v>
      </c>
      <c r="D16" s="39" t="s">
        <v>41</v>
      </c>
      <c r="E16" s="40" t="s">
        <v>42</v>
      </c>
      <c r="F16" s="40" t="s">
        <v>43</v>
      </c>
      <c r="G16" s="39" t="s">
        <v>44</v>
      </c>
      <c r="H16" s="43" t="s">
        <v>4</v>
      </c>
      <c r="I16" s="48"/>
    </row>
    <row r="17" spans="1:9" ht="45" customHeight="1">
      <c r="A17" s="35"/>
      <c r="B17" s="37"/>
      <c r="C17" s="37"/>
      <c r="D17" s="39"/>
      <c r="E17" s="42"/>
      <c r="F17" s="42"/>
      <c r="G17" s="39"/>
      <c r="H17" s="45"/>
      <c r="I17" s="50"/>
    </row>
    <row r="18" spans="1:9" ht="45" customHeight="1">
      <c r="A18" s="35"/>
      <c r="B18" s="37"/>
      <c r="C18" s="37"/>
      <c r="D18" s="39"/>
      <c r="E18" s="42"/>
      <c r="F18" s="42"/>
      <c r="G18" s="39"/>
      <c r="H18" s="45"/>
      <c r="I18" s="50"/>
    </row>
    <row r="19" spans="1:9" ht="45" customHeight="1">
      <c r="A19" s="35"/>
      <c r="B19" s="37"/>
      <c r="C19" s="37"/>
      <c r="D19" s="39"/>
      <c r="E19" s="41"/>
      <c r="F19" s="41"/>
      <c r="G19" s="39"/>
      <c r="H19" s="44"/>
      <c r="I19" s="49"/>
    </row>
    <row r="20" spans="1:9" ht="45" customHeight="1">
      <c r="A20" s="35">
        <v>6</v>
      </c>
      <c r="B20" s="37"/>
      <c r="C20" s="37"/>
      <c r="D20" s="39" t="s">
        <v>45</v>
      </c>
      <c r="E20" s="40" t="s">
        <v>46</v>
      </c>
      <c r="F20" s="40" t="s">
        <v>47</v>
      </c>
      <c r="G20" s="39" t="s">
        <v>48</v>
      </c>
      <c r="H20" s="43" t="s">
        <v>4</v>
      </c>
      <c r="I20" s="48"/>
    </row>
    <row r="21" spans="1:9" ht="45" customHeight="1">
      <c r="A21" s="35"/>
      <c r="B21" s="37"/>
      <c r="C21" s="37"/>
      <c r="D21" s="39"/>
      <c r="E21" s="42"/>
      <c r="F21" s="42"/>
      <c r="G21" s="39"/>
      <c r="H21" s="45"/>
      <c r="I21" s="50"/>
    </row>
    <row r="22" spans="1:9" ht="45" customHeight="1">
      <c r="A22" s="35"/>
      <c r="B22" s="37"/>
      <c r="C22" s="37"/>
      <c r="D22" s="39"/>
      <c r="E22" s="41"/>
      <c r="F22" s="41"/>
      <c r="G22" s="39"/>
      <c r="H22" s="44"/>
      <c r="I22" s="49"/>
    </row>
    <row r="23" spans="1:9" ht="45" customHeight="1">
      <c r="A23" s="35">
        <v>7</v>
      </c>
      <c r="B23" s="37"/>
      <c r="C23" s="37"/>
      <c r="D23" s="39" t="s">
        <v>49</v>
      </c>
      <c r="E23" s="40" t="s">
        <v>50</v>
      </c>
      <c r="F23" s="40" t="s">
        <v>51</v>
      </c>
      <c r="G23" s="39" t="s">
        <v>52</v>
      </c>
      <c r="H23" s="43" t="s">
        <v>4</v>
      </c>
      <c r="I23" s="48"/>
    </row>
    <row r="24" spans="1:9" ht="45" customHeight="1">
      <c r="A24" s="35"/>
      <c r="B24" s="37"/>
      <c r="C24" s="37"/>
      <c r="D24" s="39"/>
      <c r="E24" s="42"/>
      <c r="F24" s="42"/>
      <c r="G24" s="39"/>
      <c r="H24" s="45"/>
      <c r="I24" s="50"/>
    </row>
    <row r="25" spans="1:9" ht="45" customHeight="1">
      <c r="A25" s="35"/>
      <c r="B25" s="37"/>
      <c r="C25" s="37"/>
      <c r="D25" s="39"/>
      <c r="E25" s="41"/>
      <c r="F25" s="41"/>
      <c r="G25" s="39"/>
      <c r="H25" s="44"/>
      <c r="I25" s="49"/>
    </row>
    <row r="26" spans="1:9" ht="45" customHeight="1">
      <c r="A26" s="35">
        <v>8</v>
      </c>
      <c r="B26" s="37"/>
      <c r="C26" s="37"/>
      <c r="D26" s="39" t="s">
        <v>53</v>
      </c>
      <c r="E26" s="40" t="s">
        <v>54</v>
      </c>
      <c r="F26" s="40" t="s">
        <v>55</v>
      </c>
      <c r="G26" s="39" t="s">
        <v>48</v>
      </c>
      <c r="H26" s="43" t="s">
        <v>4</v>
      </c>
      <c r="I26" s="48"/>
    </row>
    <row r="27" spans="1:9" ht="45" customHeight="1">
      <c r="A27" s="35"/>
      <c r="B27" s="37"/>
      <c r="C27" s="37"/>
      <c r="D27" s="39"/>
      <c r="E27" s="42"/>
      <c r="F27" s="42"/>
      <c r="G27" s="39"/>
      <c r="H27" s="45"/>
      <c r="I27" s="50"/>
    </row>
    <row r="28" spans="1:9" ht="45" customHeight="1">
      <c r="A28" s="35"/>
      <c r="B28" s="37"/>
      <c r="C28" s="37"/>
      <c r="D28" s="39"/>
      <c r="E28" s="42"/>
      <c r="F28" s="42"/>
      <c r="G28" s="39"/>
      <c r="H28" s="45"/>
      <c r="I28" s="50"/>
    </row>
    <row r="29" spans="1:9" ht="45" customHeight="1">
      <c r="A29" s="35"/>
      <c r="B29" s="37"/>
      <c r="C29" s="37"/>
      <c r="D29" s="39"/>
      <c r="E29" s="41"/>
      <c r="F29" s="41"/>
      <c r="G29" s="39"/>
      <c r="H29" s="44"/>
      <c r="I29" s="49"/>
    </row>
    <row r="30" spans="1:9" ht="45" customHeight="1">
      <c r="A30" s="35">
        <v>9</v>
      </c>
      <c r="B30" s="37"/>
      <c r="C30" s="37"/>
      <c r="D30" s="39" t="s">
        <v>56</v>
      </c>
      <c r="E30" s="40" t="s">
        <v>57</v>
      </c>
      <c r="F30" s="40" t="s">
        <v>55</v>
      </c>
      <c r="G30" s="39" t="s">
        <v>52</v>
      </c>
      <c r="H30" s="43" t="s">
        <v>4</v>
      </c>
      <c r="I30" s="48"/>
    </row>
    <row r="31" spans="1:9" ht="45" customHeight="1">
      <c r="A31" s="35"/>
      <c r="B31" s="37"/>
      <c r="C31" s="37"/>
      <c r="D31" s="39"/>
      <c r="E31" s="42"/>
      <c r="F31" s="42"/>
      <c r="G31" s="39"/>
      <c r="H31" s="45"/>
      <c r="I31" s="50"/>
    </row>
    <row r="32" spans="1:9" ht="45" customHeight="1">
      <c r="A32" s="35"/>
      <c r="B32" s="37"/>
      <c r="C32" s="37"/>
      <c r="D32" s="39"/>
      <c r="E32" s="42"/>
      <c r="F32" s="42"/>
      <c r="G32" s="39"/>
      <c r="H32" s="45"/>
      <c r="I32" s="50"/>
    </row>
    <row r="33" spans="1:9" ht="45" customHeight="1">
      <c r="A33" s="35"/>
      <c r="B33" s="37"/>
      <c r="C33" s="37"/>
      <c r="D33" s="39"/>
      <c r="E33" s="41"/>
      <c r="F33" s="41"/>
      <c r="G33" s="39"/>
      <c r="H33" s="44"/>
      <c r="I33" s="49"/>
    </row>
    <row r="34" spans="1:9" ht="45" customHeight="1">
      <c r="A34" s="35">
        <v>10</v>
      </c>
      <c r="B34" s="37"/>
      <c r="C34" s="37"/>
      <c r="D34" s="39" t="s">
        <v>58</v>
      </c>
      <c r="E34" s="40" t="s">
        <v>59</v>
      </c>
      <c r="F34" s="40" t="s">
        <v>60</v>
      </c>
      <c r="G34" s="39" t="s">
        <v>61</v>
      </c>
      <c r="H34" s="43" t="s">
        <v>4</v>
      </c>
      <c r="I34" s="48"/>
    </row>
    <row r="35" spans="1:9" ht="45" customHeight="1">
      <c r="A35" s="35"/>
      <c r="B35" s="37"/>
      <c r="C35" s="37"/>
      <c r="D35" s="39"/>
      <c r="E35" s="42"/>
      <c r="F35" s="42"/>
      <c r="G35" s="39"/>
      <c r="H35" s="45"/>
      <c r="I35" s="50"/>
    </row>
    <row r="36" spans="1:9" ht="45" customHeight="1">
      <c r="A36" s="35"/>
      <c r="B36" s="37"/>
      <c r="C36" s="37"/>
      <c r="D36" s="39"/>
      <c r="E36" s="42"/>
      <c r="F36" s="42"/>
      <c r="G36" s="39"/>
      <c r="H36" s="45"/>
      <c r="I36" s="50"/>
    </row>
    <row r="37" spans="1:9" ht="45" customHeight="1">
      <c r="A37" s="35"/>
      <c r="B37" s="37"/>
      <c r="C37" s="37"/>
      <c r="D37" s="39"/>
      <c r="E37" s="41"/>
      <c r="F37" s="41"/>
      <c r="G37" s="39"/>
      <c r="H37" s="44"/>
      <c r="I37" s="49"/>
    </row>
    <row r="38" spans="1:9" ht="45" customHeight="1">
      <c r="A38" s="35">
        <v>11</v>
      </c>
      <c r="B38" s="37"/>
      <c r="C38" s="37"/>
      <c r="D38" s="39" t="s">
        <v>62</v>
      </c>
      <c r="E38" s="40" t="s">
        <v>63</v>
      </c>
      <c r="F38" s="40" t="s">
        <v>64</v>
      </c>
      <c r="G38" s="39" t="s">
        <v>65</v>
      </c>
      <c r="H38" s="43" t="s">
        <v>4</v>
      </c>
      <c r="I38" s="48"/>
    </row>
    <row r="39" spans="1:9" ht="45" customHeight="1">
      <c r="A39" s="35"/>
      <c r="B39" s="37"/>
      <c r="C39" s="37"/>
      <c r="D39" s="39"/>
      <c r="E39" s="42"/>
      <c r="F39" s="42"/>
      <c r="G39" s="39"/>
      <c r="H39" s="45"/>
      <c r="I39" s="50"/>
    </row>
    <row r="40" spans="1:9" ht="45" customHeight="1">
      <c r="A40" s="35"/>
      <c r="B40" s="37"/>
      <c r="C40" s="37"/>
      <c r="D40" s="39"/>
      <c r="E40" s="41"/>
      <c r="F40" s="41"/>
      <c r="G40" s="39"/>
      <c r="H40" s="44"/>
      <c r="I40" s="49"/>
    </row>
    <row r="41" spans="1:9" ht="45" customHeight="1">
      <c r="A41" s="35">
        <v>12</v>
      </c>
      <c r="B41" s="37"/>
      <c r="C41" s="37"/>
      <c r="D41" s="39" t="s">
        <v>66</v>
      </c>
      <c r="E41" s="40" t="s">
        <v>67</v>
      </c>
      <c r="F41" s="40" t="s">
        <v>68</v>
      </c>
      <c r="G41" s="39" t="s">
        <v>69</v>
      </c>
      <c r="H41" s="43" t="s">
        <v>4</v>
      </c>
      <c r="I41" s="48"/>
    </row>
    <row r="42" spans="1:9" ht="45" customHeight="1">
      <c r="A42" s="35"/>
      <c r="B42" s="37"/>
      <c r="C42" s="37"/>
      <c r="D42" s="39"/>
      <c r="E42" s="42"/>
      <c r="F42" s="42"/>
      <c r="G42" s="39"/>
      <c r="H42" s="45"/>
      <c r="I42" s="50"/>
    </row>
    <row r="43" spans="1:9" ht="45" customHeight="1">
      <c r="A43" s="35"/>
      <c r="B43" s="37"/>
      <c r="C43" s="37"/>
      <c r="D43" s="39"/>
      <c r="E43" s="41"/>
      <c r="F43" s="41"/>
      <c r="G43" s="39"/>
      <c r="H43" s="44"/>
      <c r="I43" s="49"/>
    </row>
    <row r="44" spans="1:9" ht="45" customHeight="1">
      <c r="A44" s="35">
        <v>13</v>
      </c>
      <c r="B44" s="37"/>
      <c r="C44" s="37"/>
      <c r="D44" s="39" t="s">
        <v>70</v>
      </c>
      <c r="E44" s="40" t="s">
        <v>63</v>
      </c>
      <c r="F44" s="40" t="s">
        <v>71</v>
      </c>
      <c r="G44" s="39" t="s">
        <v>72</v>
      </c>
      <c r="H44" s="43" t="s">
        <v>4</v>
      </c>
      <c r="I44" s="48"/>
    </row>
    <row r="45" spans="1:9" ht="45" customHeight="1">
      <c r="A45" s="35"/>
      <c r="B45" s="37"/>
      <c r="C45" s="37"/>
      <c r="D45" s="39"/>
      <c r="E45" s="42"/>
      <c r="F45" s="42"/>
      <c r="G45" s="39"/>
      <c r="H45" s="45"/>
      <c r="I45" s="50"/>
    </row>
    <row r="46" spans="1:9" ht="45" customHeight="1">
      <c r="A46" s="35"/>
      <c r="B46" s="37"/>
      <c r="C46" s="37"/>
      <c r="D46" s="39"/>
      <c r="E46" s="41"/>
      <c r="F46" s="41"/>
      <c r="G46" s="39"/>
      <c r="H46" s="44"/>
      <c r="I46" s="49"/>
    </row>
    <row r="47" spans="1:9" ht="45" customHeight="1">
      <c r="A47" s="35">
        <v>14</v>
      </c>
      <c r="B47" s="37"/>
      <c r="C47" s="37"/>
      <c r="D47" s="39" t="s">
        <v>73</v>
      </c>
      <c r="E47" s="40" t="s">
        <v>74</v>
      </c>
      <c r="F47" s="39" t="s">
        <v>75</v>
      </c>
      <c r="G47" s="39" t="s">
        <v>76</v>
      </c>
      <c r="H47" s="43" t="s">
        <v>4</v>
      </c>
      <c r="I47" s="48"/>
    </row>
    <row r="48" spans="1:9" ht="45" customHeight="1">
      <c r="A48" s="35"/>
      <c r="B48" s="38"/>
      <c r="C48" s="38"/>
      <c r="D48" s="39"/>
      <c r="E48" s="41"/>
      <c r="F48" s="39"/>
      <c r="G48" s="39"/>
      <c r="H48" s="44"/>
      <c r="I48" s="49"/>
    </row>
  </sheetData>
  <mergeCells count="107">
    <mergeCell ref="I34:I37"/>
    <mergeCell ref="I38:I40"/>
    <mergeCell ref="I41:I43"/>
    <mergeCell ref="I44:I46"/>
    <mergeCell ref="I47:I48"/>
    <mergeCell ref="I8:I9"/>
    <mergeCell ref="I10:I11"/>
    <mergeCell ref="I12:I13"/>
    <mergeCell ref="I14:I15"/>
    <mergeCell ref="I16:I19"/>
    <mergeCell ref="I20:I22"/>
    <mergeCell ref="I23:I25"/>
    <mergeCell ref="I26:I29"/>
    <mergeCell ref="I30:I33"/>
    <mergeCell ref="G34:G37"/>
    <mergeCell ref="G38:G40"/>
    <mergeCell ref="G41:G43"/>
    <mergeCell ref="G44:G46"/>
    <mergeCell ref="G47:G48"/>
    <mergeCell ref="H8:H9"/>
    <mergeCell ref="H10:H11"/>
    <mergeCell ref="H12:H13"/>
    <mergeCell ref="H14:H15"/>
    <mergeCell ref="H16:H19"/>
    <mergeCell ref="H20:H22"/>
    <mergeCell ref="H23:H25"/>
    <mergeCell ref="H26:H29"/>
    <mergeCell ref="H30:H33"/>
    <mergeCell ref="H34:H37"/>
    <mergeCell ref="H38:H40"/>
    <mergeCell ref="H41:H43"/>
    <mergeCell ref="H44:H46"/>
    <mergeCell ref="H47:H48"/>
    <mergeCell ref="G8:G9"/>
    <mergeCell ref="G10:G11"/>
    <mergeCell ref="G12:G13"/>
    <mergeCell ref="G14:G15"/>
    <mergeCell ref="G16:G19"/>
    <mergeCell ref="G20:G22"/>
    <mergeCell ref="G23:G25"/>
    <mergeCell ref="G26:G29"/>
    <mergeCell ref="G30:G33"/>
    <mergeCell ref="E44:E46"/>
    <mergeCell ref="E47:E48"/>
    <mergeCell ref="F8:F9"/>
    <mergeCell ref="F10:F11"/>
    <mergeCell ref="F12:F13"/>
    <mergeCell ref="F14:F15"/>
    <mergeCell ref="F16:F19"/>
    <mergeCell ref="F20:F22"/>
    <mergeCell ref="F23:F25"/>
    <mergeCell ref="F26:F29"/>
    <mergeCell ref="F30:F33"/>
    <mergeCell ref="F34:F37"/>
    <mergeCell ref="F38:F40"/>
    <mergeCell ref="F41:F43"/>
    <mergeCell ref="F44:F46"/>
    <mergeCell ref="F47:F48"/>
    <mergeCell ref="E14:E15"/>
    <mergeCell ref="E16:E19"/>
    <mergeCell ref="E20:E22"/>
    <mergeCell ref="E23:E25"/>
    <mergeCell ref="E26:E29"/>
    <mergeCell ref="E30:E33"/>
    <mergeCell ref="E34:E37"/>
    <mergeCell ref="E38:E40"/>
    <mergeCell ref="E41:E43"/>
    <mergeCell ref="A44:A46"/>
    <mergeCell ref="A47:A48"/>
    <mergeCell ref="B8:B48"/>
    <mergeCell ref="C8:C15"/>
    <mergeCell ref="C16:C48"/>
    <mergeCell ref="D8:D9"/>
    <mergeCell ref="D10:D11"/>
    <mergeCell ref="D12:D13"/>
    <mergeCell ref="D14:D15"/>
    <mergeCell ref="D16:D19"/>
    <mergeCell ref="D20:D22"/>
    <mergeCell ref="D23:D25"/>
    <mergeCell ref="D26:D29"/>
    <mergeCell ref="D30:D33"/>
    <mergeCell ref="D34:D37"/>
    <mergeCell ref="D38:D40"/>
    <mergeCell ref="D41:D43"/>
    <mergeCell ref="D44:D46"/>
    <mergeCell ref="D47:D48"/>
    <mergeCell ref="A14:A15"/>
    <mergeCell ref="A16:A19"/>
    <mergeCell ref="A20:A22"/>
    <mergeCell ref="A23:A25"/>
    <mergeCell ref="A26:A29"/>
    <mergeCell ref="A30:A33"/>
    <mergeCell ref="A34:A37"/>
    <mergeCell ref="A38:A40"/>
    <mergeCell ref="A41:A43"/>
    <mergeCell ref="A1:F1"/>
    <mergeCell ref="C2:D2"/>
    <mergeCell ref="C3:D3"/>
    <mergeCell ref="C4:D4"/>
    <mergeCell ref="C5:D5"/>
    <mergeCell ref="C6:F6"/>
    <mergeCell ref="A8:A9"/>
    <mergeCell ref="A10:A11"/>
    <mergeCell ref="A12:A13"/>
    <mergeCell ref="E8:E9"/>
    <mergeCell ref="E10:E11"/>
    <mergeCell ref="E12:E13"/>
  </mergeCells>
  <conditionalFormatting sqref="H8">
    <cfRule type="cellIs" dxfId="41" priority="160" stopIfTrue="1" operator="equal">
      <formula>"N/A"</formula>
    </cfRule>
    <cfRule type="cellIs" dxfId="40" priority="161" stopIfTrue="1" operator="equal">
      <formula>"Fail"</formula>
    </cfRule>
    <cfRule type="cellIs" dxfId="39" priority="162" stopIfTrue="1" operator="equal">
      <formula>"Pass"</formula>
    </cfRule>
  </conditionalFormatting>
  <conditionalFormatting sqref="H10">
    <cfRule type="cellIs" dxfId="38" priority="163" stopIfTrue="1" operator="equal">
      <formula>"N/A"</formula>
    </cfRule>
    <cfRule type="cellIs" dxfId="37" priority="164" stopIfTrue="1" operator="equal">
      <formula>"Fail"</formula>
    </cfRule>
    <cfRule type="cellIs" dxfId="36" priority="165" stopIfTrue="1" operator="equal">
      <formula>"Pass"</formula>
    </cfRule>
  </conditionalFormatting>
  <conditionalFormatting sqref="H12">
    <cfRule type="cellIs" dxfId="35" priority="187" stopIfTrue="1" operator="equal">
      <formula>"N/A"</formula>
    </cfRule>
    <cfRule type="cellIs" dxfId="34" priority="188" stopIfTrue="1" operator="equal">
      <formula>"Fail"</formula>
    </cfRule>
    <cfRule type="cellIs" dxfId="33" priority="189" stopIfTrue="1" operator="equal">
      <formula>"Pass"</formula>
    </cfRule>
  </conditionalFormatting>
  <conditionalFormatting sqref="H14">
    <cfRule type="cellIs" dxfId="32" priority="117" stopIfTrue="1" operator="equal">
      <formula>"N/A"</formula>
    </cfRule>
    <cfRule type="cellIs" dxfId="31" priority="137" stopIfTrue="1" operator="equal">
      <formula>"Fail"</formula>
    </cfRule>
    <cfRule type="cellIs" dxfId="30" priority="157" stopIfTrue="1" operator="equal">
      <formula>"Pass"</formula>
    </cfRule>
  </conditionalFormatting>
  <conditionalFormatting sqref="H16">
    <cfRule type="cellIs" dxfId="29" priority="111" stopIfTrue="1" operator="equal">
      <formula>"N/A"</formula>
    </cfRule>
    <cfRule type="cellIs" dxfId="28" priority="131" stopIfTrue="1" operator="equal">
      <formula>"Fail"</formula>
    </cfRule>
    <cfRule type="cellIs" dxfId="27" priority="151" stopIfTrue="1" operator="equal">
      <formula>"Pass"</formula>
    </cfRule>
  </conditionalFormatting>
  <conditionalFormatting sqref="H20">
    <cfRule type="cellIs" dxfId="26" priority="107" stopIfTrue="1" operator="equal">
      <formula>"N/A"</formula>
    </cfRule>
    <cfRule type="cellIs" dxfId="25" priority="127" stopIfTrue="1" operator="equal">
      <formula>"Fail"</formula>
    </cfRule>
    <cfRule type="cellIs" dxfId="24" priority="147" stopIfTrue="1" operator="equal">
      <formula>"Pass"</formula>
    </cfRule>
  </conditionalFormatting>
  <conditionalFormatting sqref="H23">
    <cfRule type="cellIs" dxfId="23" priority="104" stopIfTrue="1" operator="equal">
      <formula>"N/A"</formula>
    </cfRule>
    <cfRule type="cellIs" dxfId="22" priority="124" stopIfTrue="1" operator="equal">
      <formula>"Fail"</formula>
    </cfRule>
    <cfRule type="cellIs" dxfId="21" priority="144" stopIfTrue="1" operator="equal">
      <formula>"Pass"</formula>
    </cfRule>
  </conditionalFormatting>
  <conditionalFormatting sqref="H26">
    <cfRule type="cellIs" dxfId="20" priority="101" stopIfTrue="1" operator="equal">
      <formula>"N/A"</formula>
    </cfRule>
    <cfRule type="cellIs" dxfId="19" priority="121" stopIfTrue="1" operator="equal">
      <formula>"Fail"</formula>
    </cfRule>
    <cfRule type="cellIs" dxfId="18" priority="141" stopIfTrue="1" operator="equal">
      <formula>"Pass"</formula>
    </cfRule>
  </conditionalFormatting>
  <conditionalFormatting sqref="H30">
    <cfRule type="cellIs" dxfId="17" priority="31" stopIfTrue="1" operator="equal">
      <formula>"N/A"</formula>
    </cfRule>
    <cfRule type="cellIs" dxfId="16" priority="64" stopIfTrue="1" operator="equal">
      <formula>"Fail"</formula>
    </cfRule>
    <cfRule type="cellIs" dxfId="15" priority="97" stopIfTrue="1" operator="equal">
      <formula>"Pass"</formula>
    </cfRule>
  </conditionalFormatting>
  <conditionalFormatting sqref="H34">
    <cfRule type="cellIs" dxfId="14" priority="27" stopIfTrue="1" operator="equal">
      <formula>"N/A"</formula>
    </cfRule>
    <cfRule type="cellIs" dxfId="13" priority="60" stopIfTrue="1" operator="equal">
      <formula>"Fail"</formula>
    </cfRule>
    <cfRule type="cellIs" dxfId="12" priority="93" stopIfTrue="1" operator="equal">
      <formula>"Pass"</formula>
    </cfRule>
  </conditionalFormatting>
  <conditionalFormatting sqref="H38">
    <cfRule type="cellIs" dxfId="11" priority="13" stopIfTrue="1" operator="equal">
      <formula>"N/A"</formula>
    </cfRule>
    <cfRule type="cellIs" dxfId="10" priority="46" stopIfTrue="1" operator="equal">
      <formula>"Fail"</formula>
    </cfRule>
    <cfRule type="cellIs" dxfId="9" priority="79" stopIfTrue="1" operator="equal">
      <formula>"Pass"</formula>
    </cfRule>
  </conditionalFormatting>
  <conditionalFormatting sqref="H41">
    <cfRule type="cellIs" dxfId="8" priority="10" stopIfTrue="1" operator="equal">
      <formula>"N/A"</formula>
    </cfRule>
    <cfRule type="cellIs" dxfId="7" priority="43" stopIfTrue="1" operator="equal">
      <formula>"Fail"</formula>
    </cfRule>
    <cfRule type="cellIs" dxfId="6" priority="76" stopIfTrue="1" operator="equal">
      <formula>"Pass"</formula>
    </cfRule>
  </conditionalFormatting>
  <conditionalFormatting sqref="H44">
    <cfRule type="cellIs" dxfId="5" priority="7" stopIfTrue="1" operator="equal">
      <formula>"N/A"</formula>
    </cfRule>
    <cfRule type="cellIs" dxfId="4" priority="40" stopIfTrue="1" operator="equal">
      <formula>"Fail"</formula>
    </cfRule>
    <cfRule type="cellIs" dxfId="3" priority="73" stopIfTrue="1" operator="equal">
      <formula>"Pass"</formula>
    </cfRule>
  </conditionalFormatting>
  <conditionalFormatting sqref="H47">
    <cfRule type="cellIs" dxfId="2" priority="4" stopIfTrue="1" operator="equal">
      <formula>"N/A"</formula>
    </cfRule>
    <cfRule type="cellIs" dxfId="1" priority="37" stopIfTrue="1" operator="equal">
      <formula>"Fail"</formula>
    </cfRule>
    <cfRule type="cellIs" dxfId="0" priority="70" stopIfTrue="1" operator="equal">
      <formula>"Pass"</formula>
    </cfRule>
  </conditionalFormatting>
  <dataValidations count="1">
    <dataValidation type="list" allowBlank="1" showInputMessage="1" showErrorMessage="1" sqref="H8:H48" xr:uid="{00000000-0002-0000-0000-000000000000}">
      <formula1>$G$2:$G$4</formula1>
    </dataValidation>
  </dataValidation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/>
  <dcterms:created xsi:type="dcterms:W3CDTF">2022-02-14T09:35:00Z</dcterms:created>
  <dcterms:modified xsi:type="dcterms:W3CDTF">2026-01-31T10:08:35Z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