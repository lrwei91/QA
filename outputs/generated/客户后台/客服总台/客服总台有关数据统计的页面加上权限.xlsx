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客服总台有关数据统计的页面加上权限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<sst xmlns="http://schemas.openxmlformats.org/spreadsheetml/2006/main" count="77" uniqueCount="50">
  <si>
    <t>客服总台有关数据统计的页面加上权限</t>
  </si>
  <si>
    <t>测试总数量</t>
  </si>
  <si>
    <t>测试平台</t>
  </si>
  <si>
    <t>测试日期</t>
  </si>
  <si>
    <t>Pass</t>
  </si>
  <si>
    <t>系统&amp;版本</t>
  </si>
  <si>
    <t>最后更新</t>
  </si>
  <si>
    <t>Fail</t>
  </si>
  <si>
    <t>文档编写人</t>
  </si>
  <si>
    <t>文档测试人</t>
  </si>
  <si>
    <t>N/A</t>
  </si>
  <si>
    <t>策划负责人</t>
  </si>
  <si>
    <t>审阅人员</t>
  </si>
  <si>
    <t>参考档</t>
  </si>
  <si>
    <t>序号</t>
  </si>
  <si>
    <t>平台</t>
  </si>
  <si>
    <t>功能点</t>
  </si>
  <si>
    <t>前置条件</t>
  </si>
  <si>
    <t>操作步骤</t>
  </si>
  <si>
    <t>预期结果</t>
  </si>
  <si>
    <t>测试结果</t>
  </si>
  <si>
    <t>备注</t>
  </si>
  <si>
    <t>账服后台</t>
  </si>
  <si>
    <t>权限配置</t>
  </si>
  <si>
    <t>新增权限项存在性</t>
  </si>
  <si>
    <t>1. 管理员登录后台
2. 进入权限配置页面</t>
  </si>
  <si>
    <t>查看权限列表</t>
  </si>
  <si>
    <t>存在以下权限项：
·【玩家列表-数据统计】
·【批量操作-数据统计】
·【游戏记录-数据统计】
·【数据统计】（站内信）
菜单显隐预设为“开”，权限组预设为“关”</t>
  </si>
  <si>
    <t>玩家列表</t>
  </si>
  <si>
    <t>有权限时显示统计数据</t>
  </si>
  <si>
    <t>用户拥有【玩家列表-数据统计】权限</t>
  </si>
  <si>
    <t>1. 进入【玩家管理】-【玩家列表】
2. 查看页面</t>
  </si>
  <si>
    <t>显示统计筛选项</t>
  </si>
  <si>
    <t>无权限时隐藏统计数据</t>
  </si>
  <si>
    <t>不显示统计筛选项</t>
  </si>
  <si>
    <t>玩家列表-批量操作</t>
  </si>
  <si>
    <t>用户拥有【批量操作-数据统计】权限</t>
  </si>
  <si>
    <t>1. 在玩家列表勾选玩家
2. 点击【批量操作】按钮
3. 查看批量操作页面</t>
  </si>
  <si>
    <t>1. 在玩家列表勾选玩家
2. 点击【批量操作】按钮
3. 查看批量操作弹窗/页面</t>
  </si>
  <si>
    <t>游戏记录</t>
  </si>
  <si>
    <t>1. 用户拥有【数据统计】（游戏记录）权限</t>
  </si>
  <si>
    <t>1. 进入【游戏记录】页面
2. 查看页面</t>
  </si>
  <si>
    <t>1. 用户无【数据统计】（游戏记录）权限</t>
  </si>
  <si>
    <t>玩家详情-游戏记录</t>
  </si>
  <si>
    <t>1. 用户拥有【游戏记录-数据统计】权限
2. 进入玩家详情页</t>
  </si>
  <si>
    <t>1. 点击【游戏记录】tab
2. 查看页面</t>
  </si>
  <si>
    <t>站内信</t>
  </si>
  <si>
    <t>1. 用户拥有【数据统计】（站内信）权限</t>
  </si>
  <si>
    <t>1. 进入【站内信】页面
2. 查看页面</t>
  </si>
  <si>
    <t>1. 用户无【数据统计】（站内信）权限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</si>
</sst>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2"/>
      <color theme="0"/>
      <name val="宋体"/>
      <charset val="134"/>
      <scheme val="minor"/>
    </font>
    <font>
      <b/>
      <sz val="12"/>
      <color theme="0"/>
      <name val="宋体"/>
      <charset val="136"/>
      <scheme val="minor"/>
    </font>
    <font>
      <b/>
      <sz val="12"/>
      <color theme="1"/>
      <name val="宋体"/>
      <charset val="136"/>
      <scheme val="minor"/>
    </font>
    <font>
      <b/>
      <sz val="12"/>
      <color rgb="FF0000FF"/>
      <name val="宋体"/>
      <charset val="136"/>
      <scheme val="minor"/>
    </font>
    <font>
      <b/>
      <sz val="12"/>
      <color rgb="FFFF0000"/>
      <name val="宋体"/>
      <charset val="136"/>
      <scheme val="minor"/>
    </font>
    <font>
      <b/>
      <sz val="12"/>
      <color rgb="FF7030A0"/>
      <name val="宋体"/>
      <charset val="136"/>
      <scheme val="minor"/>
    </font>
    <font>
      <sz val="12"/>
      <color theme="1"/>
      <name val="宋体"/>
      <charset val="136"/>
      <scheme val="minor"/>
    </font>
    <font>
      <b/>
      <sz val="12"/>
      <color rgb="FF0F1115"/>
      <name val="宋体"/>
      <charset val="134"/>
      <scheme val="minor"/>
    </font>
    <font>
      <sz val="12"/>
      <color rgb="FF0F1115"/>
      <name val="宋体"/>
      <charset val="134"/>
      <scheme val="minor"/>
    </font>
    <font>
      <sz val="12"/>
      <color rgb="FF000000"/>
      <name val="宋体"/>
      <charset val="134"/>
      <scheme val="minor"/>
    </font>
    <font>
      <b/>
      <sz val="12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8" borderId="11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9" borderId="14" applyNumberFormat="0" applyAlignment="0" applyProtection="0">
      <alignment vertical="center"/>
    </xf>
    <xf numFmtId="0" fontId="23" fillId="10" borderId="15" applyNumberFormat="0" applyAlignment="0" applyProtection="0">
      <alignment vertical="center"/>
    </xf>
    <xf numFmtId="0" fontId="24" fillId="10" borderId="14" applyNumberFormat="0" applyAlignment="0" applyProtection="0">
      <alignment vertical="center"/>
    </xf>
    <xf numFmtId="0" fontId="25" fillId="11" borderId="16" applyNumberFormat="0" applyAlignment="0" applyProtection="0">
      <alignment vertical="center"/>
    </xf>
    <xf numFmtId="0" fontId="26" fillId="0" borderId="17" applyNumberFormat="0" applyFill="0" applyAlignment="0" applyProtection="0">
      <alignment vertical="center"/>
    </xf>
    <xf numFmtId="0" fontId="27" fillId="0" borderId="18" applyNumberFormat="0" applyFill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9" fillId="0" borderId="0">
      <alignment vertical="center"/>
    </xf>
  </cellStyleXfs>
  <cellXfs count="6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3" fillId="2" borderId="1" xfId="49" applyFont="1" applyFill="1" applyBorder="1" applyAlignment="1">
      <alignment horizontal="center" vertical="center"/>
    </xf>
    <xf numFmtId="0" fontId="4" fillId="2" borderId="0" xfId="49" applyFont="1" applyFill="1" applyAlignment="1">
      <alignment horizontal="center" vertical="center"/>
    </xf>
    <xf numFmtId="0" fontId="4" fillId="3" borderId="2" xfId="49" applyFont="1" applyFill="1" applyBorder="1" applyAlignment="1">
      <alignment horizontal="center" vertical="center"/>
    </xf>
    <xf numFmtId="0" fontId="5" fillId="4" borderId="2" xfId="49" applyFont="1" applyFill="1" applyBorder="1" applyAlignment="1">
      <alignment horizontal="center" vertical="center"/>
    </xf>
    <xf numFmtId="0" fontId="2" fillId="0" borderId="2" xfId="0" applyFont="1" applyBorder="1">
      <alignment vertical="center"/>
    </xf>
    <xf numFmtId="49" fontId="4" fillId="5" borderId="3" xfId="0" applyNumberFormat="1" applyFont="1" applyFill="1" applyBorder="1" applyAlignment="1">
      <alignment horizontal="center" vertical="center"/>
    </xf>
    <xf numFmtId="49" fontId="4" fillId="4" borderId="4" xfId="0" applyNumberFormat="1" applyFont="1" applyFill="1" applyBorder="1" applyAlignment="1">
      <alignment horizontal="center" vertical="center"/>
    </xf>
    <xf numFmtId="14" fontId="5" fillId="4" borderId="4" xfId="49" applyNumberFormat="1" applyFont="1" applyFill="1" applyBorder="1" applyAlignment="1">
      <alignment horizontal="left" vertical="center"/>
    </xf>
    <xf numFmtId="0" fontId="4" fillId="5" borderId="5" xfId="0" applyFont="1" applyFill="1" applyBorder="1" applyAlignment="1">
      <alignment horizontal="center" vertical="center"/>
    </xf>
    <xf numFmtId="14" fontId="5" fillId="4" borderId="6" xfId="49" applyNumberFormat="1" applyFont="1" applyFill="1" applyBorder="1" applyAlignment="1">
      <alignment horizontal="center" vertical="center"/>
    </xf>
    <xf numFmtId="0" fontId="6" fillId="4" borderId="2" xfId="49" applyFont="1" applyFill="1" applyBorder="1" applyAlignment="1">
      <alignment horizontal="center" vertical="center"/>
    </xf>
    <xf numFmtId="0" fontId="6" fillId="4" borderId="7" xfId="49" applyFont="1" applyFill="1" applyBorder="1" applyAlignment="1">
      <alignment horizontal="center" vertical="center"/>
    </xf>
    <xf numFmtId="49" fontId="4" fillId="5" borderId="7" xfId="0" applyNumberFormat="1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center" vertical="center"/>
    </xf>
    <xf numFmtId="46" fontId="5" fillId="4" borderId="2" xfId="49" applyNumberFormat="1" applyFont="1" applyFill="1" applyBorder="1" applyAlignment="1">
      <alignment horizontal="left" vertical="center"/>
    </xf>
    <xf numFmtId="0" fontId="7" fillId="4" borderId="2" xfId="49" applyFont="1" applyFill="1" applyBorder="1" applyAlignment="1">
      <alignment horizontal="center" vertical="center"/>
    </xf>
    <xf numFmtId="0" fontId="7" fillId="4" borderId="7" xfId="49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49" fontId="4" fillId="5" borderId="8" xfId="0" applyNumberFormat="1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8" fillId="4" borderId="2" xfId="49" applyFont="1" applyFill="1" applyBorder="1" applyAlignment="1">
      <alignment horizontal="center" vertical="center"/>
    </xf>
    <xf numFmtId="0" fontId="8" fillId="4" borderId="7" xfId="49" applyFont="1" applyFill="1" applyBorder="1" applyAlignment="1">
      <alignment horizontal="center" vertical="center"/>
    </xf>
    <xf numFmtId="0" fontId="5" fillId="4" borderId="2" xfId="0" applyFont="1" applyFill="1" applyBorder="1">
      <alignment vertical="center"/>
    </xf>
    <xf numFmtId="0" fontId="2" fillId="0" borderId="7" xfId="0" applyFont="1" applyBorder="1">
      <alignment vertical="center"/>
    </xf>
    <xf numFmtId="0" fontId="4" fillId="5" borderId="7" xfId="49" applyFont="1" applyFill="1" applyBorder="1" applyAlignment="1">
      <alignment horizontal="center" vertical="center"/>
    </xf>
    <xf numFmtId="0" fontId="4" fillId="4" borderId="4" xfId="49" applyFont="1" applyFill="1" applyBorder="1" applyAlignment="1">
      <alignment horizontal="center" vertical="center"/>
    </xf>
    <xf numFmtId="0" fontId="9" fillId="0" borderId="5" xfId="0" applyFont="1" applyBorder="1" applyAlignment="1">
      <alignment horizontal="left" vertical="center" wrapText="1"/>
    </xf>
    <xf numFmtId="0" fontId="9" fillId="0" borderId="6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 wrapText="1"/>
    </xf>
    <xf numFmtId="0" fontId="9" fillId="0" borderId="2" xfId="0" applyFont="1" applyBorder="1" applyAlignment="1">
      <alignment vertical="center" wrapText="1"/>
    </xf>
    <xf numFmtId="0" fontId="4" fillId="6" borderId="2" xfId="0" applyFont="1" applyFill="1" applyBorder="1" applyAlignment="1">
      <alignment horizontal="center" vertical="center"/>
    </xf>
    <xf numFmtId="0" fontId="10" fillId="7" borderId="2" xfId="0" applyFont="1" applyFill="1" applyBorder="1" applyAlignment="1">
      <alignment horizontal="center" vertical="center" wrapText="1"/>
    </xf>
    <xf numFmtId="0" fontId="11" fillId="7" borderId="2" xfId="0" applyFont="1" applyFill="1" applyBorder="1" applyAlignment="1">
      <alignment horizontal="center" vertical="center" wrapText="1"/>
    </xf>
    <xf numFmtId="0" fontId="11" fillId="7" borderId="9" xfId="0" applyFont="1" applyFill="1" applyBorder="1" applyAlignment="1">
      <alignment horizontal="left" vertical="center" wrapText="1"/>
    </xf>
    <xf numFmtId="0" fontId="9" fillId="4" borderId="9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11" fillId="7" borderId="10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/>
    </xf>
    <xf numFmtId="0" fontId="11" fillId="7" borderId="9" xfId="0" applyFont="1" applyFill="1" applyBorder="1" applyAlignment="1">
      <alignment horizontal="center" vertical="center" wrapText="1"/>
    </xf>
    <xf numFmtId="0" fontId="11" fillId="7" borderId="9" xfId="0" applyFont="1" applyFill="1" applyBorder="1" applyAlignment="1">
      <alignment horizontal="left" vertical="center" wrapText="1"/>
    </xf>
    <xf numFmtId="0" fontId="11" fillId="7" borderId="10" xfId="0" applyFont="1" applyFill="1" applyBorder="1" applyAlignment="1">
      <alignment horizontal="center" vertical="center" wrapText="1"/>
    </xf>
    <xf numFmtId="0" fontId="11" fillId="7" borderId="10" xfId="0" applyFont="1" applyFill="1" applyBorder="1" applyAlignment="1">
      <alignment horizontal="left" vertical="center" wrapText="1"/>
    </xf>
    <xf numFmtId="0" fontId="11" fillId="7" borderId="6" xfId="0" applyFont="1" applyFill="1" applyBorder="1" applyAlignment="1">
      <alignment horizontal="center" vertical="center" wrapText="1"/>
    </xf>
    <xf numFmtId="0" fontId="9" fillId="4" borderId="6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 wrapText="1"/>
    </xf>
    <xf numFmtId="0" fontId="11" fillId="7" borderId="6" xfId="0" applyFont="1" applyFill="1" applyBorder="1" applyAlignment="1">
      <alignment horizontal="left" vertical="center" wrapText="1"/>
    </xf>
    <xf numFmtId="0" fontId="12" fillId="0" borderId="6" xfId="0" applyFont="1" applyBorder="1" applyAlignment="1">
      <alignment horizontal="center" vertical="center" wrapText="1"/>
    </xf>
    <xf numFmtId="0" fontId="11" fillId="7" borderId="9" xfId="0" applyFont="1" applyFill="1" applyBorder="1" applyAlignment="1">
      <alignment vertical="center" wrapText="1"/>
    </xf>
    <xf numFmtId="0" fontId="11" fillId="7" borderId="10" xfId="0" applyFont="1" applyFill="1" applyBorder="1" applyAlignment="1">
      <alignment vertical="center" wrapText="1"/>
    </xf>
    <xf numFmtId="0" fontId="12" fillId="0" borderId="10" xfId="0" applyFont="1" applyBorder="1" applyAlignment="1">
      <alignment horizontal="center" vertical="center" wrapText="1"/>
    </xf>
    <xf numFmtId="0" fontId="11" fillId="7" borderId="6" xfId="0" applyFont="1" applyFill="1" applyBorder="1" applyAlignment="1">
      <alignment vertical="center" wrapText="1"/>
    </xf>
    <xf numFmtId="0" fontId="11" fillId="7" borderId="2" xfId="0" applyFont="1" applyFill="1" applyBorder="1" applyAlignment="1">
      <alignment vertical="center" wrapText="1"/>
    </xf>
    <xf numFmtId="0" fontId="13" fillId="0" borderId="6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left" vertical="center" wrapText="1"/>
    </xf>
    <xf numFmtId="0" fontId="9" fillId="4" borderId="2" xfId="0" applyFont="1" applyFill="1" applyBorder="1" applyAlignment="1">
      <alignment horizontal="center" vertical="center" wrapText="1"/>
    </xf>
    <xf numFmtId="0" fontId="12" fillId="0" borderId="2" xfId="0" applyFont="1" applyBorder="1" applyAlignment="1">
      <alignment horizontal="left" vertical="center" wrapText="1"/>
    </xf>
    <xf numFmtId="0" fontId="13" fillId="0" borderId="2" xfId="0" applyFont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一般 10" xfId="49"/>
  </cellStyles>
  <dxfs count="3">
    <dxf>
      <font>
        <b val="0"/>
        <i val="0"/>
        <color rgb="FF7030A0"/>
      </font>
    </dxf>
    <dxf>
      <font>
        <b val="0"/>
        <i val="0"/>
        <color rgb="FFFF0000"/>
      </font>
    </dxf>
    <dxf>
      <font>
        <b val="0"/>
        <i val="0"/>
        <color rgb="FF0000FF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335280</xdr:colOff>
      <xdr:row>7</xdr:row>
      <xdr:rowOff>247015</xdr:rowOff>
    </xdr:from>
    <xdr:to>
      <xdr:col>8</xdr:col>
      <xdr:colOff>1133475</xdr:colOff>
      <xdr:row>8</xdr:row>
      <xdr:rowOff>349250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3033355" y="1628140"/>
          <a:ext cx="798195" cy="5480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1009015</xdr:colOff>
      <xdr:row>9</xdr:row>
      <xdr:rowOff>135255</xdr:rowOff>
    </xdr:from>
    <xdr:to>
      <xdr:col>8</xdr:col>
      <xdr:colOff>1619250</xdr:colOff>
      <xdr:row>10</xdr:row>
      <xdr:rowOff>146685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3707090" y="2407920"/>
          <a:ext cx="610235" cy="457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713740</xdr:colOff>
      <xdr:row>11</xdr:row>
      <xdr:rowOff>118110</xdr:rowOff>
    </xdr:from>
    <xdr:to>
      <xdr:col>8</xdr:col>
      <xdr:colOff>2152650</xdr:colOff>
      <xdr:row>12</xdr:row>
      <xdr:rowOff>318135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3411815" y="3282315"/>
          <a:ext cx="1438910" cy="6457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1065530</xdr:colOff>
      <xdr:row>13</xdr:row>
      <xdr:rowOff>245110</xdr:rowOff>
    </xdr:from>
    <xdr:to>
      <xdr:col>8</xdr:col>
      <xdr:colOff>1980565</xdr:colOff>
      <xdr:row>14</xdr:row>
      <xdr:rowOff>190500</xdr:rowOff>
    </xdr:to>
    <xdr:pic>
      <xdr:nvPicPr>
        <xdr:cNvPr id="5" name="图片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23763605" y="4300855"/>
          <a:ext cx="915035" cy="391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645795</xdr:colOff>
      <xdr:row>15</xdr:row>
      <xdr:rowOff>405130</xdr:rowOff>
    </xdr:from>
    <xdr:to>
      <xdr:col>8</xdr:col>
      <xdr:colOff>1638300</xdr:colOff>
      <xdr:row>17</xdr:row>
      <xdr:rowOff>1905</xdr:rowOff>
    </xdr:to>
    <xdr:pic>
      <xdr:nvPicPr>
        <xdr:cNvPr id="6" name="图片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3343870" y="5352415"/>
          <a:ext cx="992505" cy="4883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1103630</xdr:colOff>
      <xdr:row>18</xdr:row>
      <xdr:rowOff>396875</xdr:rowOff>
    </xdr:from>
    <xdr:to>
      <xdr:col>8</xdr:col>
      <xdr:colOff>1962150</xdr:colOff>
      <xdr:row>20</xdr:row>
      <xdr:rowOff>156210</xdr:rowOff>
    </xdr:to>
    <xdr:pic>
      <xdr:nvPicPr>
        <xdr:cNvPr id="7" name="图片 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3801705" y="6681470"/>
          <a:ext cx="858520" cy="6508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913765</xdr:colOff>
      <xdr:row>23</xdr:row>
      <xdr:rowOff>259715</xdr:rowOff>
    </xdr:from>
    <xdr:to>
      <xdr:col>8</xdr:col>
      <xdr:colOff>1905000</xdr:colOff>
      <xdr:row>24</xdr:row>
      <xdr:rowOff>316230</xdr:rowOff>
    </xdr:to>
    <xdr:pic>
      <xdr:nvPicPr>
        <xdr:cNvPr id="8" name="图片 7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23611840" y="8773160"/>
          <a:ext cx="991235" cy="5022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760730</xdr:colOff>
      <xdr:row>21</xdr:row>
      <xdr:rowOff>69215</xdr:rowOff>
    </xdr:from>
    <xdr:to>
      <xdr:col>8</xdr:col>
      <xdr:colOff>2371725</xdr:colOff>
      <xdr:row>22</xdr:row>
      <xdr:rowOff>320040</xdr:rowOff>
    </xdr:to>
    <xdr:pic>
      <xdr:nvPicPr>
        <xdr:cNvPr id="9" name="图片 8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23458805" y="7691120"/>
          <a:ext cx="1610995" cy="6965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1256665</xdr:colOff>
      <xdr:row>27</xdr:row>
      <xdr:rowOff>234950</xdr:rowOff>
    </xdr:from>
    <xdr:to>
      <xdr:col>8</xdr:col>
      <xdr:colOff>1885950</xdr:colOff>
      <xdr:row>28</xdr:row>
      <xdr:rowOff>125730</xdr:rowOff>
    </xdr:to>
    <xdr:pic>
      <xdr:nvPicPr>
        <xdr:cNvPr id="10" name="图片 9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23954740" y="10531475"/>
          <a:ext cx="629285" cy="3365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1008380</xdr:colOff>
      <xdr:row>25</xdr:row>
      <xdr:rowOff>140335</xdr:rowOff>
    </xdr:from>
    <xdr:to>
      <xdr:col>8</xdr:col>
      <xdr:colOff>2095500</xdr:colOff>
      <xdr:row>26</xdr:row>
      <xdr:rowOff>201930</xdr:rowOff>
    </xdr:to>
    <xdr:pic>
      <xdr:nvPicPr>
        <xdr:cNvPr id="11" name="图片 10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23706455" y="9545320"/>
          <a:ext cx="1087120" cy="5073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923290</xdr:colOff>
      <xdr:row>29</xdr:row>
      <xdr:rowOff>147320</xdr:rowOff>
    </xdr:from>
    <xdr:to>
      <xdr:col>8</xdr:col>
      <xdr:colOff>2019300</xdr:colOff>
      <xdr:row>30</xdr:row>
      <xdr:rowOff>205740</xdr:rowOff>
    </xdr:to>
    <xdr:pic>
      <xdr:nvPicPr>
        <xdr:cNvPr id="12" name="图片 11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23621365" y="11335385"/>
          <a:ext cx="1096010" cy="5041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1059815</xdr:colOff>
      <xdr:row>31</xdr:row>
      <xdr:rowOff>204470</xdr:rowOff>
    </xdr:from>
    <xdr:to>
      <xdr:col>8</xdr:col>
      <xdr:colOff>1933575</xdr:colOff>
      <xdr:row>32</xdr:row>
      <xdr:rowOff>321945</xdr:rowOff>
    </xdr:to>
    <xdr:pic>
      <xdr:nvPicPr>
        <xdr:cNvPr id="13" name="图片 12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23757890" y="12284075"/>
          <a:ext cx="873760" cy="56324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2"/>
  <sheetViews>
    <sheetView tabSelected="1" workbookViewId="0">
      <pane ySplit="7" topLeftCell="A8" activePane="bottomLeft" state="frozen"/>
      <selection/>
      <selection pane="bottomLeft" activeCell="F12" sqref="F12:F15"/>
    </sheetView>
  </sheetViews>
  <sheetFormatPr defaultColWidth="9" defaultRowHeight="14.25"/>
  <cols>
    <col min="1" max="2" width="25.75" style="1" customWidth="1"/>
    <col min="3" max="3" width="30.625" style="2" customWidth="1"/>
    <col min="4" max="4" width="29.5" style="2" customWidth="1"/>
    <col min="5" max="5" width="55.25" style="3" customWidth="1"/>
    <col min="6" max="6" width="65.25" style="3" customWidth="1"/>
    <col min="7" max="7" width="47.375" style="3" customWidth="1"/>
    <col min="8" max="8" width="18.375" style="3" customWidth="1"/>
    <col min="9" max="9" width="36.125" style="3" customWidth="1"/>
    <col min="10" max="16384" width="9" style="3"/>
  </cols>
  <sheetData>
    <row r="1" ht="16.5" customHeight="1" spans="1:9">
      <c r="A1" s="4" t="s">
        <v>0</v>
      </c>
      <c r="B1" s="5"/>
      <c r="C1" s="5"/>
      <c r="D1" s="5"/>
      <c r="E1" s="5"/>
      <c r="F1" s="5"/>
      <c r="G1" s="6" t="s">
        <v>1</v>
      </c>
      <c r="H1" s="7">
        <f>H2+H3+H4</f>
        <v>11</v>
      </c>
      <c r="I1" s="8"/>
    </row>
    <row r="2" spans="1:9">
      <c r="A2" s="9" t="s">
        <v>2</v>
      </c>
      <c r="B2" s="10"/>
      <c r="C2" s="11"/>
      <c r="D2" s="11"/>
      <c r="E2" s="12" t="s">
        <v>3</v>
      </c>
      <c r="F2" s="13">
        <v>46108</v>
      </c>
      <c r="G2" s="14" t="s">
        <v>4</v>
      </c>
      <c r="H2" s="15">
        <f>COUNTIF(H8:H232,"Pass")</f>
        <v>11</v>
      </c>
      <c r="I2" s="8"/>
    </row>
    <row r="3" ht="16.5" customHeight="1" spans="1:9">
      <c r="A3" s="16" t="s">
        <v>5</v>
      </c>
      <c r="B3" s="10"/>
      <c r="C3" s="11"/>
      <c r="D3" s="11"/>
      <c r="E3" s="17" t="s">
        <v>6</v>
      </c>
      <c r="F3" s="18"/>
      <c r="G3" s="19" t="s">
        <v>7</v>
      </c>
      <c r="H3" s="20">
        <f>COUNTIF(H8:H232,"Fail")</f>
        <v>0</v>
      </c>
      <c r="I3" s="8"/>
    </row>
    <row r="4" ht="16.5" customHeight="1" spans="1:9">
      <c r="A4" s="21" t="s">
        <v>8</v>
      </c>
      <c r="B4" s="22"/>
      <c r="C4" s="11"/>
      <c r="D4" s="11"/>
      <c r="E4" s="23" t="s">
        <v>9</v>
      </c>
      <c r="F4" s="24"/>
      <c r="G4" s="25" t="s">
        <v>10</v>
      </c>
      <c r="H4" s="26">
        <f>COUNTIF(H8:H232,"N/A")</f>
        <v>0</v>
      </c>
      <c r="I4" s="8"/>
    </row>
    <row r="5" ht="16.5" customHeight="1" spans="1:9">
      <c r="A5" s="16" t="s">
        <v>11</v>
      </c>
      <c r="B5" s="10"/>
      <c r="C5" s="11"/>
      <c r="D5" s="11"/>
      <c r="E5" s="17" t="s">
        <v>12</v>
      </c>
      <c r="F5" s="27"/>
      <c r="G5" s="8"/>
      <c r="H5" s="28"/>
      <c r="I5" s="8"/>
    </row>
    <row r="6" spans="1:9">
      <c r="A6" s="29" t="s">
        <v>13</v>
      </c>
      <c r="B6" s="30"/>
      <c r="C6" s="31"/>
      <c r="D6" s="32"/>
      <c r="E6" s="33"/>
      <c r="F6" s="33"/>
      <c r="G6" s="34"/>
      <c r="H6" s="28"/>
      <c r="I6" s="8"/>
    </row>
    <row r="7" spans="1:9">
      <c r="A7" s="35" t="s">
        <v>14</v>
      </c>
      <c r="B7" s="35" t="s">
        <v>15</v>
      </c>
      <c r="C7" s="35"/>
      <c r="D7" s="35" t="s">
        <v>16</v>
      </c>
      <c r="E7" s="35" t="s">
        <v>17</v>
      </c>
      <c r="F7" s="35" t="s">
        <v>18</v>
      </c>
      <c r="G7" s="35" t="s">
        <v>19</v>
      </c>
      <c r="H7" s="35" t="s">
        <v>20</v>
      </c>
      <c r="I7" s="35" t="s">
        <v>21</v>
      </c>
    </row>
    <row r="8" ht="35.1" customHeight="1" spans="1:9">
      <c r="A8" s="36">
        <v>1</v>
      </c>
      <c r="B8" s="37" t="s">
        <v>22</v>
      </c>
      <c r="C8" s="37" t="s">
        <v>23</v>
      </c>
      <c r="D8" s="37" t="s">
        <v>24</v>
      </c>
      <c r="E8" s="38" t="s">
        <v>25</v>
      </c>
      <c r="F8" s="37" t="s">
        <v>26</v>
      </c>
      <c r="G8" s="38" t="s">
        <v>27</v>
      </c>
      <c r="H8" s="39" t="s">
        <v>4</v>
      </c>
      <c r="I8" s="40"/>
    </row>
    <row r="9" ht="35.1" customHeight="1" spans="1:9">
      <c r="A9" s="36"/>
      <c r="B9" s="37"/>
      <c r="C9" s="37"/>
      <c r="D9" s="37"/>
      <c r="E9" s="41"/>
      <c r="F9" s="37"/>
      <c r="G9" s="41"/>
      <c r="H9" s="42"/>
      <c r="I9" s="43"/>
    </row>
    <row r="10" ht="35.1" customHeight="1" spans="1:9">
      <c r="A10" s="36"/>
      <c r="B10" s="37"/>
      <c r="C10" s="37"/>
      <c r="D10" s="37"/>
      <c r="E10" s="41"/>
      <c r="F10" s="37"/>
      <c r="G10" s="41"/>
      <c r="H10" s="42"/>
      <c r="I10" s="43"/>
    </row>
    <row r="11" ht="35.1" customHeight="1" spans="1:9">
      <c r="A11" s="36"/>
      <c r="B11" s="37"/>
      <c r="C11" s="37"/>
      <c r="D11" s="37"/>
      <c r="E11" s="41"/>
      <c r="F11" s="37"/>
      <c r="G11" s="41"/>
      <c r="H11" s="42"/>
      <c r="I11" s="43"/>
    </row>
    <row r="12" ht="35.1" customHeight="1" spans="1:9">
      <c r="A12" s="36">
        <v>2</v>
      </c>
      <c r="B12" s="37"/>
      <c r="C12" s="44" t="s">
        <v>28</v>
      </c>
      <c r="D12" s="37" t="s">
        <v>29</v>
      </c>
      <c r="E12" s="44" t="s">
        <v>30</v>
      </c>
      <c r="F12" s="45" t="s">
        <v>31</v>
      </c>
      <c r="G12" s="44" t="s">
        <v>32</v>
      </c>
      <c r="H12" s="39" t="s">
        <v>4</v>
      </c>
      <c r="I12" s="40"/>
    </row>
    <row r="13" ht="35.1" customHeight="1" spans="1:9">
      <c r="A13" s="36"/>
      <c r="B13" s="37"/>
      <c r="C13" s="46"/>
      <c r="D13" s="37"/>
      <c r="E13" s="46"/>
      <c r="F13" s="47"/>
      <c r="G13" s="48"/>
      <c r="H13" s="49"/>
      <c r="I13" s="50"/>
    </row>
    <row r="14" ht="35.1" customHeight="1" spans="1:9">
      <c r="A14" s="36">
        <v>3</v>
      </c>
      <c r="B14" s="37"/>
      <c r="C14" s="46"/>
      <c r="D14" s="37" t="s">
        <v>33</v>
      </c>
      <c r="E14" s="46"/>
      <c r="F14" s="47"/>
      <c r="G14" s="44" t="s">
        <v>34</v>
      </c>
      <c r="H14" s="39" t="s">
        <v>4</v>
      </c>
      <c r="I14" s="51"/>
    </row>
    <row r="15" ht="35.1" customHeight="1" spans="1:9">
      <c r="A15" s="36"/>
      <c r="B15" s="37"/>
      <c r="C15" s="48"/>
      <c r="D15" s="37"/>
      <c r="E15" s="48"/>
      <c r="F15" s="52"/>
      <c r="G15" s="48"/>
      <c r="H15" s="49"/>
      <c r="I15" s="53"/>
    </row>
    <row r="16" ht="35.1" customHeight="1" spans="1:9">
      <c r="A16" s="36">
        <v>4</v>
      </c>
      <c r="B16" s="37"/>
      <c r="C16" s="44" t="s">
        <v>35</v>
      </c>
      <c r="D16" s="37" t="s">
        <v>29</v>
      </c>
      <c r="E16" s="44" t="s">
        <v>36</v>
      </c>
      <c r="F16" s="54" t="s">
        <v>37</v>
      </c>
      <c r="G16" s="37" t="s">
        <v>32</v>
      </c>
      <c r="H16" s="39" t="s">
        <v>4</v>
      </c>
      <c r="I16" s="51"/>
    </row>
    <row r="17" ht="35.1" customHeight="1" spans="1:9">
      <c r="A17" s="36"/>
      <c r="B17" s="37"/>
      <c r="C17" s="46"/>
      <c r="D17" s="37"/>
      <c r="E17" s="46"/>
      <c r="F17" s="55"/>
      <c r="G17" s="37"/>
      <c r="H17" s="42"/>
      <c r="I17" s="56"/>
    </row>
    <row r="18" ht="35.1" customHeight="1" spans="1:9">
      <c r="A18" s="36"/>
      <c r="B18" s="37"/>
      <c r="C18" s="46"/>
      <c r="D18" s="37"/>
      <c r="E18" s="46"/>
      <c r="F18" s="57"/>
      <c r="G18" s="37"/>
      <c r="H18" s="49"/>
      <c r="I18" s="53"/>
    </row>
    <row r="19" ht="35.1" customHeight="1" spans="1:9">
      <c r="A19" s="36">
        <v>5</v>
      </c>
      <c r="B19" s="37"/>
      <c r="C19" s="46"/>
      <c r="D19" s="37" t="s">
        <v>33</v>
      </c>
      <c r="E19" s="46"/>
      <c r="F19" s="54" t="s">
        <v>38</v>
      </c>
      <c r="G19" s="37" t="s">
        <v>34</v>
      </c>
      <c r="H19" s="39" t="s">
        <v>4</v>
      </c>
      <c r="I19" s="51"/>
    </row>
    <row r="20" ht="35.1" customHeight="1" spans="1:9">
      <c r="A20" s="36"/>
      <c r="B20" s="37"/>
      <c r="C20" s="46"/>
      <c r="D20" s="37"/>
      <c r="E20" s="46"/>
      <c r="F20" s="55"/>
      <c r="G20" s="37"/>
      <c r="H20" s="42"/>
      <c r="I20" s="56"/>
    </row>
    <row r="21" ht="35.1" customHeight="1" spans="1:9">
      <c r="A21" s="36"/>
      <c r="B21" s="37"/>
      <c r="C21" s="48"/>
      <c r="D21" s="37"/>
      <c r="E21" s="48"/>
      <c r="F21" s="57"/>
      <c r="G21" s="37"/>
      <c r="H21" s="49"/>
      <c r="I21" s="53"/>
    </row>
    <row r="22" ht="35.1" customHeight="1" spans="1:9">
      <c r="A22" s="36">
        <v>6</v>
      </c>
      <c r="B22" s="37"/>
      <c r="C22" s="44" t="s">
        <v>39</v>
      </c>
      <c r="D22" s="37" t="s">
        <v>29</v>
      </c>
      <c r="E22" s="58" t="s">
        <v>40</v>
      </c>
      <c r="F22" s="45" t="s">
        <v>41</v>
      </c>
      <c r="G22" s="37" t="s">
        <v>32</v>
      </c>
      <c r="H22" s="39" t="s">
        <v>4</v>
      </c>
      <c r="I22" s="51"/>
    </row>
    <row r="23" ht="35.1" customHeight="1" spans="1:9">
      <c r="A23" s="36"/>
      <c r="B23" s="37"/>
      <c r="C23" s="46"/>
      <c r="D23" s="37"/>
      <c r="E23" s="58"/>
      <c r="F23" s="47"/>
      <c r="G23" s="37"/>
      <c r="H23" s="49"/>
      <c r="I23" s="53"/>
    </row>
    <row r="24" ht="35.1" customHeight="1" spans="1:9">
      <c r="A24" s="36">
        <v>7</v>
      </c>
      <c r="B24" s="37"/>
      <c r="C24" s="46"/>
      <c r="D24" s="37" t="s">
        <v>33</v>
      </c>
      <c r="E24" s="58" t="s">
        <v>42</v>
      </c>
      <c r="F24" s="47"/>
      <c r="G24" s="37" t="s">
        <v>34</v>
      </c>
      <c r="H24" s="39" t="s">
        <v>4</v>
      </c>
      <c r="I24" s="51"/>
    </row>
    <row r="25" ht="35.1" customHeight="1" spans="1:9">
      <c r="A25" s="36"/>
      <c r="B25" s="37"/>
      <c r="C25" s="48"/>
      <c r="D25" s="37"/>
      <c r="E25" s="58"/>
      <c r="F25" s="52"/>
      <c r="G25" s="37"/>
      <c r="H25" s="49"/>
      <c r="I25" s="53"/>
    </row>
    <row r="26" ht="35.1" customHeight="1" spans="1:9">
      <c r="A26" s="36">
        <v>8</v>
      </c>
      <c r="B26" s="37"/>
      <c r="C26" s="44" t="s">
        <v>43</v>
      </c>
      <c r="D26" s="37" t="s">
        <v>29</v>
      </c>
      <c r="E26" s="45" t="s">
        <v>44</v>
      </c>
      <c r="F26" s="45" t="s">
        <v>45</v>
      </c>
      <c r="G26" s="37" t="s">
        <v>32</v>
      </c>
      <c r="H26" s="39" t="s">
        <v>4</v>
      </c>
      <c r="I26" s="51"/>
    </row>
    <row r="27" ht="35.1" customHeight="1" spans="1:9">
      <c r="A27" s="36"/>
      <c r="B27" s="37"/>
      <c r="C27" s="46"/>
      <c r="D27" s="37"/>
      <c r="E27" s="47"/>
      <c r="F27" s="47"/>
      <c r="G27" s="37"/>
      <c r="H27" s="49"/>
      <c r="I27" s="53"/>
    </row>
    <row r="28" ht="35.1" customHeight="1" spans="1:9">
      <c r="A28" s="36">
        <v>9</v>
      </c>
      <c r="B28" s="37"/>
      <c r="C28" s="46"/>
      <c r="D28" s="37" t="s">
        <v>33</v>
      </c>
      <c r="E28" s="47"/>
      <c r="F28" s="47"/>
      <c r="G28" s="37" t="s">
        <v>34</v>
      </c>
      <c r="H28" s="39" t="s">
        <v>4</v>
      </c>
      <c r="I28" s="51"/>
    </row>
    <row r="29" ht="35.1" customHeight="1" spans="1:9">
      <c r="A29" s="36"/>
      <c r="B29" s="37"/>
      <c r="C29" s="48"/>
      <c r="D29" s="37"/>
      <c r="E29" s="52"/>
      <c r="F29" s="52"/>
      <c r="G29" s="37"/>
      <c r="H29" s="49"/>
      <c r="I29" s="53"/>
    </row>
    <row r="30" ht="35.1" customHeight="1" spans="1:9">
      <c r="A30" s="36">
        <v>10</v>
      </c>
      <c r="B30" s="37"/>
      <c r="C30" s="44" t="s">
        <v>46</v>
      </c>
      <c r="D30" s="37" t="s">
        <v>29</v>
      </c>
      <c r="E30" s="58" t="s">
        <v>47</v>
      </c>
      <c r="F30" s="54" t="s">
        <v>48</v>
      </c>
      <c r="G30" s="37" t="s">
        <v>32</v>
      </c>
      <c r="H30" s="39" t="s">
        <v>4</v>
      </c>
      <c r="I30" s="51"/>
    </row>
    <row r="31" ht="35.1" customHeight="1" spans="1:9">
      <c r="A31" s="36"/>
      <c r="B31" s="37"/>
      <c r="C31" s="46"/>
      <c r="D31" s="37"/>
      <c r="E31" s="58"/>
      <c r="F31" s="55"/>
      <c r="G31" s="37"/>
      <c r="H31" s="49"/>
      <c r="I31" s="53"/>
    </row>
    <row r="32" ht="35.1" customHeight="1" spans="1:9">
      <c r="A32" s="36">
        <v>11</v>
      </c>
      <c r="B32" s="37"/>
      <c r="C32" s="46"/>
      <c r="D32" s="37" t="s">
        <v>33</v>
      </c>
      <c r="E32" s="58" t="s">
        <v>49</v>
      </c>
      <c r="F32" s="55"/>
      <c r="G32" s="37" t="s">
        <v>34</v>
      </c>
      <c r="H32" s="39" t="s">
        <v>4</v>
      </c>
      <c r="I32" s="51"/>
    </row>
    <row r="33" ht="35.1" customHeight="1" spans="1:9">
      <c r="A33" s="36"/>
      <c r="B33" s="37"/>
      <c r="C33" s="48"/>
      <c r="D33" s="37"/>
      <c r="E33" s="58"/>
      <c r="F33" s="57"/>
      <c r="G33" s="37"/>
      <c r="H33" s="49"/>
      <c r="I33" s="53"/>
    </row>
    <row r="34" ht="35.1" customHeight="1" spans="1:9">
      <c r="A34" s="59"/>
      <c r="B34" s="59"/>
      <c r="C34" s="53"/>
      <c r="D34" s="53"/>
      <c r="E34" s="60"/>
      <c r="F34" s="60"/>
      <c r="G34" s="60"/>
      <c r="H34" s="61"/>
      <c r="I34" s="62"/>
    </row>
    <row r="35" ht="35.1" customHeight="1" spans="1:9">
      <c r="A35" s="63"/>
      <c r="B35" s="59"/>
      <c r="C35" s="53"/>
      <c r="D35" s="53"/>
      <c r="E35" s="60"/>
      <c r="F35" s="60"/>
      <c r="G35" s="60"/>
      <c r="H35" s="61"/>
      <c r="I35" s="62"/>
    </row>
    <row r="36" ht="35.1" customHeight="1" spans="1:9">
      <c r="A36" s="63"/>
      <c r="B36" s="59"/>
      <c r="C36" s="53"/>
      <c r="D36" s="53"/>
      <c r="E36" s="60"/>
      <c r="F36" s="60"/>
      <c r="G36" s="60"/>
      <c r="H36" s="61"/>
      <c r="I36" s="62"/>
    </row>
    <row r="37" ht="35.1" customHeight="1" spans="1:9">
      <c r="A37" s="63"/>
      <c r="B37" s="59"/>
      <c r="C37" s="53"/>
      <c r="D37" s="53"/>
      <c r="E37" s="60"/>
      <c r="F37" s="60"/>
      <c r="G37" s="60"/>
      <c r="H37" s="61"/>
      <c r="I37" s="62"/>
    </row>
    <row r="38" ht="35.1" customHeight="1" spans="1:9">
      <c r="A38" s="63"/>
      <c r="B38" s="59"/>
      <c r="C38" s="53"/>
      <c r="D38" s="53"/>
      <c r="E38" s="60"/>
      <c r="F38" s="60"/>
      <c r="G38" s="60"/>
      <c r="H38" s="61"/>
      <c r="I38" s="62"/>
    </row>
    <row r="39" ht="35.1" customHeight="1" spans="1:9">
      <c r="A39" s="63"/>
      <c r="B39" s="59"/>
      <c r="C39" s="53"/>
      <c r="D39" s="53"/>
      <c r="E39" s="60"/>
      <c r="F39" s="60"/>
      <c r="G39" s="60"/>
      <c r="H39" s="61"/>
      <c r="I39" s="62"/>
    </row>
    <row r="40" ht="35.1" customHeight="1" spans="1:9">
      <c r="A40" s="63"/>
      <c r="B40" s="59"/>
      <c r="C40" s="53"/>
      <c r="D40" s="53"/>
      <c r="E40" s="60"/>
      <c r="F40" s="60"/>
      <c r="G40" s="60"/>
      <c r="H40" s="61"/>
      <c r="I40" s="62"/>
    </row>
    <row r="41" ht="35.1" customHeight="1" spans="1:9">
      <c r="A41" s="63"/>
      <c r="B41" s="59"/>
      <c r="C41" s="53"/>
      <c r="D41" s="53"/>
      <c r="E41" s="60"/>
      <c r="F41" s="60"/>
      <c r="G41" s="60"/>
      <c r="H41" s="61"/>
      <c r="I41" s="62"/>
    </row>
    <row r="42" ht="35.1" customHeight="1" spans="1:9">
      <c r="A42" s="63"/>
      <c r="B42" s="59"/>
      <c r="C42" s="53"/>
      <c r="D42" s="53"/>
      <c r="E42" s="60"/>
      <c r="F42" s="60"/>
      <c r="G42" s="60"/>
      <c r="H42" s="61"/>
      <c r="I42" s="62"/>
    </row>
    <row r="43" ht="35.1" customHeight="1" spans="1:9">
      <c r="A43" s="63"/>
      <c r="B43" s="59"/>
      <c r="C43" s="53"/>
      <c r="D43" s="53"/>
      <c r="E43" s="60"/>
      <c r="F43" s="60"/>
      <c r="G43" s="60"/>
      <c r="H43" s="61"/>
      <c r="I43" s="62"/>
    </row>
    <row r="44" ht="35.1" customHeight="1" spans="1:9">
      <c r="A44" s="63"/>
      <c r="B44" s="59"/>
      <c r="C44" s="53"/>
      <c r="D44" s="53"/>
      <c r="E44" s="60"/>
      <c r="F44" s="60"/>
      <c r="G44" s="60"/>
      <c r="H44" s="61"/>
      <c r="I44" s="62"/>
    </row>
    <row r="45" ht="35.1" customHeight="1" spans="1:9">
      <c r="A45" s="63"/>
      <c r="B45" s="59"/>
      <c r="C45" s="53"/>
      <c r="D45" s="53"/>
      <c r="E45" s="60"/>
      <c r="F45" s="60"/>
      <c r="G45" s="60"/>
      <c r="H45" s="61"/>
      <c r="I45" s="62"/>
    </row>
    <row r="46" ht="35.1" customHeight="1" spans="1:9">
      <c r="A46" s="63"/>
      <c r="B46" s="59"/>
      <c r="C46" s="53"/>
      <c r="D46" s="53"/>
      <c r="E46" s="60"/>
      <c r="F46" s="60"/>
      <c r="G46" s="60"/>
      <c r="H46" s="61"/>
      <c r="I46" s="62"/>
    </row>
    <row r="47" ht="35.1" customHeight="1" spans="1:9">
      <c r="A47" s="63"/>
      <c r="B47" s="59"/>
      <c r="C47" s="53"/>
      <c r="D47" s="53"/>
      <c r="E47" s="60"/>
      <c r="F47" s="60"/>
      <c r="G47" s="60"/>
      <c r="H47" s="61"/>
      <c r="I47" s="62"/>
    </row>
    <row r="48" spans="1:9">
      <c r="A48" s="63"/>
      <c r="B48" s="59"/>
      <c r="C48" s="53"/>
      <c r="D48" s="53"/>
      <c r="E48" s="60"/>
      <c r="F48" s="60"/>
      <c r="G48" s="60"/>
      <c r="H48" s="61"/>
      <c r="I48" s="62"/>
    </row>
    <row r="49" spans="1:9">
      <c r="A49" s="63"/>
      <c r="B49" s="59"/>
      <c r="C49" s="53"/>
      <c r="D49" s="53"/>
      <c r="E49" s="60"/>
      <c r="F49" s="60"/>
      <c r="G49" s="60"/>
      <c r="H49" s="61"/>
      <c r="I49" s="62"/>
    </row>
    <row r="50" spans="1:9">
      <c r="A50" s="63"/>
      <c r="B50" s="59"/>
      <c r="C50" s="53"/>
      <c r="D50" s="53"/>
      <c r="E50" s="60"/>
      <c r="F50" s="60"/>
      <c r="G50" s="60"/>
      <c r="H50" s="61"/>
      <c r="I50" s="62"/>
    </row>
    <row r="51" spans="1:9">
      <c r="A51" s="63"/>
      <c r="B51" s="59"/>
      <c r="C51" s="53"/>
      <c r="D51" s="53"/>
      <c r="E51" s="60"/>
      <c r="F51" s="60"/>
      <c r="G51" s="60"/>
      <c r="H51" s="61"/>
      <c r="I51" s="62"/>
    </row>
    <row r="52" spans="1:9">
      <c r="A52" s="63"/>
      <c r="B52" s="59"/>
      <c r="C52" s="53"/>
      <c r="D52" s="53"/>
      <c r="E52" s="60"/>
      <c r="F52" s="60"/>
      <c r="G52" s="60"/>
      <c r="H52" s="61"/>
      <c r="I52" s="62"/>
    </row>
    <row r="53" spans="1:9">
      <c r="A53" s="63"/>
      <c r="B53" s="59"/>
      <c r="C53" s="53"/>
      <c r="D53" s="53"/>
      <c r="E53" s="60"/>
      <c r="F53" s="60"/>
      <c r="G53" s="60"/>
      <c r="H53" s="61"/>
      <c r="I53" s="62"/>
    </row>
    <row r="54" spans="1:9">
      <c r="A54" s="63"/>
      <c r="B54" s="59"/>
      <c r="C54" s="53"/>
      <c r="D54" s="53"/>
      <c r="E54" s="60"/>
      <c r="F54" s="60"/>
      <c r="G54" s="60"/>
      <c r="H54" s="61"/>
      <c r="I54" s="62"/>
    </row>
    <row r="55" spans="1:9">
      <c r="A55" s="63"/>
      <c r="B55" s="59"/>
      <c r="C55" s="53"/>
      <c r="D55" s="53"/>
      <c r="E55" s="60"/>
      <c r="F55" s="60"/>
      <c r="G55" s="60"/>
      <c r="H55" s="61"/>
      <c r="I55" s="62"/>
    </row>
    <row r="56" spans="1:9">
      <c r="A56" s="63"/>
      <c r="B56" s="59"/>
      <c r="C56" s="53"/>
      <c r="D56" s="53"/>
      <c r="E56" s="60"/>
      <c r="F56" s="60"/>
      <c r="G56" s="60"/>
      <c r="H56" s="61"/>
      <c r="I56" s="62"/>
    </row>
    <row r="57" spans="1:9">
      <c r="A57" s="63"/>
      <c r="B57" s="59"/>
      <c r="C57" s="53"/>
      <c r="D57" s="53"/>
      <c r="E57" s="60"/>
      <c r="F57" s="60"/>
      <c r="G57" s="60"/>
      <c r="H57" s="61"/>
      <c r="I57" s="62"/>
    </row>
    <row r="58" spans="1:9">
      <c r="A58" s="63"/>
      <c r="B58" s="59"/>
      <c r="C58" s="53"/>
      <c r="D58" s="53"/>
      <c r="E58" s="60"/>
      <c r="F58" s="60"/>
      <c r="G58" s="60"/>
      <c r="H58" s="61"/>
      <c r="I58" s="62"/>
    </row>
    <row r="59" spans="1:9">
      <c r="A59" s="63"/>
      <c r="B59" s="59"/>
      <c r="C59" s="53"/>
      <c r="D59" s="53"/>
      <c r="E59" s="60"/>
      <c r="F59" s="60"/>
      <c r="G59" s="60"/>
      <c r="H59" s="61"/>
      <c r="I59" s="62"/>
    </row>
    <row r="60" spans="1:9">
      <c r="A60" s="63"/>
      <c r="B60" s="59"/>
      <c r="C60" s="53"/>
      <c r="D60" s="53"/>
      <c r="E60" s="60"/>
      <c r="F60" s="60"/>
      <c r="G60" s="60"/>
      <c r="H60" s="61"/>
      <c r="I60" s="62"/>
    </row>
    <row r="61" spans="1:9">
      <c r="A61" s="63"/>
      <c r="B61" s="59"/>
      <c r="C61" s="53"/>
      <c r="D61" s="53"/>
      <c r="E61" s="60"/>
      <c r="F61" s="60"/>
      <c r="G61" s="60"/>
      <c r="H61" s="61"/>
      <c r="I61" s="62"/>
    </row>
    <row r="62" spans="1:9">
      <c r="A62" s="63"/>
      <c r="B62" s="59"/>
      <c r="C62" s="53"/>
      <c r="D62" s="53"/>
      <c r="E62" s="60"/>
      <c r="F62" s="60"/>
      <c r="G62" s="60"/>
      <c r="H62" s="61"/>
      <c r="I62" s="62"/>
    </row>
  </sheetData>
  <sheetProtection formatCells="0" formatColumns="0" formatRows="0" insertRows="0" insertColumns="0" insertHyperlinks="0" deleteColumns="0" deleteRows="0" sort="0" autoFilter="0" pivotTables="0"/>
  <mergeCells count="83">
    <mergeCell ref="A1:F1"/>
    <mergeCell ref="C2:D2"/>
    <mergeCell ref="C3:D3"/>
    <mergeCell ref="C4:D4"/>
    <mergeCell ref="C5:D5"/>
    <mergeCell ref="C6:F6"/>
    <mergeCell ref="A8:A11"/>
    <mergeCell ref="A12:A13"/>
    <mergeCell ref="A14:A15"/>
    <mergeCell ref="A16:A18"/>
    <mergeCell ref="A19:A21"/>
    <mergeCell ref="A22:A23"/>
    <mergeCell ref="A24:A25"/>
    <mergeCell ref="A26:A27"/>
    <mergeCell ref="A28:A29"/>
    <mergeCell ref="A30:A31"/>
    <mergeCell ref="A32:A33"/>
    <mergeCell ref="B8:B33"/>
    <mergeCell ref="C8:C11"/>
    <mergeCell ref="C12:C15"/>
    <mergeCell ref="C16:C21"/>
    <mergeCell ref="C22:C25"/>
    <mergeCell ref="C26:C29"/>
    <mergeCell ref="C30:C33"/>
    <mergeCell ref="D8:D11"/>
    <mergeCell ref="D12:D13"/>
    <mergeCell ref="D14:D15"/>
    <mergeCell ref="D16:D18"/>
    <mergeCell ref="D19:D21"/>
    <mergeCell ref="D22:D23"/>
    <mergeCell ref="D24:D25"/>
    <mergeCell ref="D26:D27"/>
    <mergeCell ref="D28:D29"/>
    <mergeCell ref="D30:D31"/>
    <mergeCell ref="D32:D33"/>
    <mergeCell ref="E8:E11"/>
    <mergeCell ref="E12:E15"/>
    <mergeCell ref="E16:E21"/>
    <mergeCell ref="E22:E23"/>
    <mergeCell ref="E24:E25"/>
    <mergeCell ref="E26:E29"/>
    <mergeCell ref="E30:E31"/>
    <mergeCell ref="E32:E33"/>
    <mergeCell ref="F8:F11"/>
    <mergeCell ref="F12:F15"/>
    <mergeCell ref="F16:F18"/>
    <mergeCell ref="F19:F21"/>
    <mergeCell ref="F22:F25"/>
    <mergeCell ref="F26:F29"/>
    <mergeCell ref="F30:F33"/>
    <mergeCell ref="G8:G11"/>
    <mergeCell ref="G12:G13"/>
    <mergeCell ref="G14:G15"/>
    <mergeCell ref="G16:G18"/>
    <mergeCell ref="G19:G21"/>
    <mergeCell ref="G22:G23"/>
    <mergeCell ref="G24:G25"/>
    <mergeCell ref="G26:G27"/>
    <mergeCell ref="G28:G29"/>
    <mergeCell ref="G30:G31"/>
    <mergeCell ref="G32:G33"/>
    <mergeCell ref="H8:H11"/>
    <mergeCell ref="H12:H13"/>
    <mergeCell ref="H14:H15"/>
    <mergeCell ref="H16:H18"/>
    <mergeCell ref="H19:H21"/>
    <mergeCell ref="H22:H23"/>
    <mergeCell ref="H24:H25"/>
    <mergeCell ref="H26:H27"/>
    <mergeCell ref="H28:H29"/>
    <mergeCell ref="H30:H31"/>
    <mergeCell ref="H32:H33"/>
    <mergeCell ref="I8:I11"/>
    <mergeCell ref="I12:I13"/>
    <mergeCell ref="I14:I15"/>
    <mergeCell ref="I16:I18"/>
    <mergeCell ref="I19:I21"/>
    <mergeCell ref="I22:I23"/>
    <mergeCell ref="I24:I25"/>
    <mergeCell ref="I26:I27"/>
    <mergeCell ref="I28:I29"/>
    <mergeCell ref="I30:I31"/>
    <mergeCell ref="I32:I33"/>
  </mergeCells>
  <conditionalFormatting sqref="H8 H12 H14 H16 H19 H22 H24 H26 H28 H30 H32 H34:H62">
    <cfRule type="cellIs" dxfId="0" priority="1" stopIfTrue="1" operator="equal">
      <formula>"N/A"</formula>
    </cfRule>
    <cfRule type="cellIs" dxfId="1" priority="34" stopIfTrue="1" operator="equal">
      <formula>"Fail"</formula>
    </cfRule>
    <cfRule type="cellIs" dxfId="2" priority="67" stopIfTrue="1" operator="equal">
      <formula>"Pass"</formula>
    </cfRule>
  </conditionalFormatting>
  <dataValidations count="1">
    <dataValidation type="list" allowBlank="1" showInputMessage="1" showErrorMessage="1" sqref="H8 H12 H14 H16 H19 H22 H24 H26 H28 H30 H32 H34:H62">
      <formula1>$G$2:$G$4</formula1>
    </dataValidation>
  </dataValidations>
  <pageMargins left="0.7" right="0.7" top="0.75" bottom="0.75" header="0.3" footer="0.3"/>
  <pageSetup paperSize="9" orientation="portrait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客服总台有关数据统计的页面加上权限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IGG</dc:creator>
  <cp:lastModifiedBy>Administrator</cp:lastModifiedBy>
  <dcterms:created xsi:type="dcterms:W3CDTF">2022-02-14T17:35:00Z</dcterms:created>
  <dcterms:modified xsi:type="dcterms:W3CDTF">2026-03-27T12:53:31Z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6F315210BDF6443A8166CB51FAFDA0A3_13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