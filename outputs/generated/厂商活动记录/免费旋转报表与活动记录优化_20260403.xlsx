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Project/QA/testcases/generated/厂商活动记录/"/>
    </mc:Choice>
  </mc:AlternateContent>
  <xr:revisionPtr revIDLastSave="19" documentId="8_{EF5DB9B2-2320-4748-80DF-DF8095D1B2C2}" xr6:coauthVersionLast="47" xr6:coauthVersionMax="47" xr10:uidLastSave="{4FF6BC4D-B26C-6A42-A92C-46F7CAB2372D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1" i="1"/>
</calcChain>
</file>

<file path=xl/sharedStrings.xml><?xml version="1.0" encoding="utf-8"?>
<sst xmlns="http://schemas.openxmlformats.org/spreadsheetml/2006/main" count="204" uniqueCount="137">
  <si>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</si>
  <si>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</si>
  <si>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</si>
  <si>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</si>
  <si>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</si>
  <si>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</si>
  <si>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</si>
  <si>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</si>
  <si>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</si>
  <si>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</si>
  <si>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</si>
  <si>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</si>
  <si>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</si>
  <si>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</si>
  <si>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</si>
  <si>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</si>
  <si>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</si>
  <si>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</si>
  <si>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</si>
  <si>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</si>
  <si>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</si>
  <si>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</si>
  <si>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账服</t>
  </si>
  <si>
    <t>一般用户报表</t>
  </si>
  <si>
    <t>免费旋转奖金汇总卡片展示</t>
  </si>
  <si>
    <t>1、用户已有免费旋转奖金数据
2、进入一般用户报表页面</t>
  </si>
  <si>
    <t>【功能测试】【P0】</t>
  </si>
  <si>
    <t>投注图表免费旋转奖金汇总数据</t>
  </si>
  <si>
    <t>1、用户有免费旋转投注和奖金数据
2、选择包含免费旋转活动的日期范围</t>
  </si>
  <si>
    <t>1、查看投注图表
2、切换不同日期范围</t>
  </si>
  <si>
    <t>1、图表中免费旋转奖金汇总数据正确展示
2、图表数据与列表数据一致</t>
  </si>
  <si>
    <t>列表字段新增免费旋转投注金额</t>
  </si>
  <si>
    <t>1、用户有免费旋转投注记录
2、进入一般用户报表查看列表</t>
  </si>
  <si>
    <t>1、查看列表字段
2、查看免费旋转投注金额列数据</t>
  </si>
  <si>
    <t>1、列表新增"免费旋转投注金额"字段
2、字段数据与活动记录中免费旋转投注总额一致</t>
  </si>
  <si>
    <t>总投注额扣除免费旋转投注金额</t>
  </si>
  <si>
    <t>1、用户有普通投注和免费旋转投注
2、普通投注 100 元，免费旋转投注 20 元</t>
  </si>
  <si>
    <t>1、查看总投注额统计
2、验证计算公式</t>
  </si>
  <si>
    <t>总奖金扣除免费旋转赢钱</t>
  </si>
  <si>
    <t>1、用户有普通奖金和免费旋转奖金
2、普通奖金 500 元，免费旋转奖金 100 元</t>
  </si>
  <si>
    <t>1、查看总奖金统计
2、验证计算公式</t>
  </si>
  <si>
    <t>免费旋转奖金扣除游戏内免费模式赢钱</t>
  </si>
  <si>
    <t>1、用户有免费旋转触发游戏内免费模式赢钱
2、免费旋转奖金 100 元，游戏内免费模式赢钱 30 元</t>
  </si>
  <si>
    <t>1、查看免费旋转奖金统计
2、验证扣除逻辑</t>
  </si>
  <si>
    <t>1、免费旋转奖金 = 免费旋转总额 - 游戏内免费模式赢钱
2、扣除后金额与活动记录一致</t>
  </si>
  <si>
    <t>【功能测试】【P1】</t>
  </si>
  <si>
    <t>数据显示小数点后两位</t>
  </si>
  <si>
    <t>1、免费旋转奖金计算结果有多位小数</t>
  </si>
  <si>
    <t>1、查看免费旋转奖金显示</t>
  </si>
  <si>
    <t>1、数据显示到小数点后两位
2、超过两位时四舍五入</t>
  </si>
  <si>
    <t>【边界测试】【P1】</t>
  </si>
  <si>
    <t>免费旋转投注金额不包含继续投注部分</t>
  </si>
  <si>
    <t>1、用户用免费旋转赢的钱继续投注
2、免费旋转投注 20 元，赢 50 元，继续投注 30 元</t>
  </si>
  <si>
    <t>1、查看免费旋转投注金额统计
2、验证计算口径</t>
  </si>
  <si>
    <t>1、免费旋转投注金额 = 初始免费旋转投注 20 元
2、不包含赢钱后继续投注的 30 元</t>
  </si>
  <si>
    <t>免费旋转投注金额为零的场景</t>
  </si>
  <si>
    <t>1、用户无免费旋转活动记录</t>
  </si>
  <si>
    <t>1、查看免费旋转投注金额字段</t>
  </si>
  <si>
    <t>1、字段显示为 0 或空值
2、不影响其他统计字段计算</t>
  </si>
  <si>
    <t>【异常测试】【P2】</t>
  </si>
  <si>
    <t>免费旋转奖金为零的场景</t>
  </si>
  <si>
    <t>1、用户参与免费旋转但未赢钱</t>
  </si>
  <si>
    <t>1、查看免费旋转奖金字段</t>
  </si>
  <si>
    <t>1、字段显示为 0
2、不影响其他统计字段</t>
  </si>
  <si>
    <t>活动记录</t>
  </si>
  <si>
    <t>净输赢统计计算（不包含免费模式赢钱）</t>
  </si>
  <si>
    <t>1、用户有免费旋转赠送次数内赢的钱
2、有触发游戏内免费模式赢的钱</t>
  </si>
  <si>
    <t>1、查看净输赢统计
2、验证计算逻辑</t>
  </si>
  <si>
    <t>1、净输赢 = 免费旋转赠送次数内赢的钱（不包含游戏内免费模式赢钱）
2、计算结果与活动记录/次数变化记录一致</t>
  </si>
  <si>
    <t>列表新增净输赢字段展示</t>
  </si>
  <si>
    <t>1、进入活动记录次数变化记录页面</t>
  </si>
  <si>
    <t>1、查看列表字段
2、查看净输赢列数据</t>
  </si>
  <si>
    <t>1、列表新增"净输赢"字段
2、每条记录净输赢值正确计算并展示</t>
  </si>
  <si>
    <t>派彩金额后 tips 提示（包含免费旋转赢钱）</t>
  </si>
  <si>
    <t>1、查看派彩金额后的 tips 提示
2、查看 tips 显示内容</t>
  </si>
  <si>
    <t>1、tips 显示包含免费旋转赠送次数内赢的金额
2、tips 显示赠送次数内触发游戏内免费模式赢的金额</t>
  </si>
  <si>
    <t>净输赢后 tips 提示</t>
  </si>
  <si>
    <t>1、用户有免费旋转活动记录</t>
  </si>
  <si>
    <t>1、鼠标悬停或点击净输赢字段
2、查看 tips 提示内容</t>
  </si>
  <si>
    <t>1、tips 显示"免费旋转赠送次数内赢的金额，不包含触发游戏内免费模式赢的金额"
2、提示文案清晰易懂</t>
  </si>
  <si>
    <t>净输赢统计为零的场景</t>
  </si>
  <si>
    <t>1、用户无免费旋转赠送次数内赢钱</t>
  </si>
  <si>
    <t>1、查看净输赢统计和字段</t>
  </si>
  <si>
    <t>1、净输赢显示为 0
2、tips 提示仍然正常展示</t>
  </si>
  <si>
    <t>免费旋转投注金额累计统计</t>
  </si>
  <si>
    <t>1、用户有多次免费旋转投注记录</t>
  </si>
  <si>
    <t>1、查看免费旋转投注金额累计值
2、验证累加逻辑</t>
  </si>
  <si>
    <t>1、累计值为所有免费旋转投注金额之和
2、不包含免费旋转赢钱后继续投注的金额</t>
  </si>
  <si>
    <t>查询时间范围支持 31 天</t>
  </si>
  <si>
    <t>1、进入活动记录页面
2、选择 31 天内的时间范围</t>
  </si>
  <si>
    <t>1、设置开始时间和结束时间
2、时间跨度≤31 天
3、点击查询</t>
  </si>
  <si>
    <t>1、查询成功返回结果
2、数据正确展示</t>
  </si>
  <si>
    <t>超过 31 天提示</t>
  </si>
  <si>
    <t>1、进入活动记录页面
2、选择超过 31 天的时间范围</t>
  </si>
  <si>
    <t>1、设置开始时间和结束时间
2、时间跨度&gt;31 天
3、点击查询</t>
  </si>
  <si>
    <t>1、弹出提示"搜索跨度区间只能在 31 天内，请重新设置时间区间"
2、不执行查询请求</t>
  </si>
  <si>
    <t>【异常测试】【P1】</t>
  </si>
  <si>
    <t>刚好 31 天的边界值</t>
  </si>
  <si>
    <t>1、选择刚好 31 天的时间范围</t>
  </si>
  <si>
    <t>1、设置开始时间和结束时间为 31 天跨度
2、点击查询</t>
  </si>
  <si>
    <t>1、查询成功，不触发超限提示
2、数据正确返回</t>
  </si>
  <si>
    <t>32 天的边界值</t>
  </si>
  <si>
    <t>1、选择 32 天的时间范围</t>
  </si>
  <si>
    <t>1、设置开始时间和结束时间为 32 天跨度
2、点击查询</t>
  </si>
  <si>
    <t>1、触发超限提示
2、阻止查询</t>
  </si>
  <si>
    <t>单天查询</t>
  </si>
  <si>
    <t>1、选择单日时间范围</t>
  </si>
  <si>
    <t>1、设置开始时间和结束时间为同一天
2、点击查询</t>
  </si>
  <si>
    <t>1、查询成功
2、返回当天数据</t>
  </si>
  <si>
    <t>跨月查询（31 天内）</t>
  </si>
  <si>
    <t>1、选择跨月但≤31 天的时间范围</t>
  </si>
  <si>
    <t>1、设置跨月的时间范围
2、点击查询</t>
  </si>
  <si>
    <t>1、查询成功
2、数据正确展示</t>
  </si>
  <si>
    <t>免费旋转活动记录数据一致性</t>
  </si>
  <si>
    <t>1、用户有免费旋转活动记录
2、同时有一般用户报表数据</t>
  </si>
  <si>
    <t>1、对比活动记录中的数据
2、对比一般用户报表中的数据</t>
  </si>
  <si>
    <t>1、两边免费旋转投注金额一致
2、两边免费旋转奖金一致
3、两边净输赢数据一致</t>
  </si>
  <si>
    <t>【数据一致性】【P1】</t>
  </si>
  <si>
    <t>报表导出</t>
  </si>
  <si>
    <t>一般用户报表导出包含新字段</t>
  </si>
  <si>
    <t>1、用户有一般用户报表数据
2、点击导出按钮</t>
  </si>
  <si>
    <t>1、导出 Excel 文件
2、打开查看内容</t>
  </si>
  <si>
    <t>1、导出文件包含免费旋转投注金额列
2、导出文件包含免费旋转奖金汇总
3、数据与页面展示一致</t>
  </si>
  <si>
    <t>【功能测试】【P2】</t>
  </si>
  <si>
    <t>导出包含净输赢字段</t>
  </si>
  <si>
    <t>1、用户有活动记录数据
2、点击导出按钮</t>
  </si>
  <si>
    <t>1、导出活动记录
2、查看导出文件</t>
  </si>
  <si>
    <t>1、导出文件包含净输赢列
2、数据与页面一致</t>
  </si>
  <si>
    <t>权限控制验证</t>
  </si>
  <si>
    <t>1、不同权限的后台账号登录</t>
  </si>
  <si>
    <t>1、无权限账号访问一般用户报表
2、有权限账号访问</t>
  </si>
  <si>
    <t>1、无权限账号无法查看报表或看不到敏感字段
2、有权限账号正常查看</t>
  </si>
  <si>
    <t>【权限测试】【P2】</t>
  </si>
  <si>
    <t>1、请求一般用户报表接口
2、查看汇总卡片数据</t>
    <phoneticPr fontId="1" type="noConversion"/>
  </si>
  <si>
    <t>1、汇总卡片新增"免费旋转奖金"字段
2、免费旋转奖金数值正确，与活动记录中免费旋转派彩总额一致</t>
    <phoneticPr fontId="1" type="noConversion"/>
  </si>
  <si>
    <t>1、总投注额 = 普通投注额，不包含免费旋转投注
2、免费旋转投注金额单独统计，不计入总投注</t>
    <phoneticPr fontId="1" type="noConversion"/>
  </si>
  <si>
    <t>1、总奖金 = 普通奖金额+免费旋转奖金，不包含免费旋转赢的奖金二次投注赢的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</si>
</sst>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14</xdr:row>
      <xdr:rowOff>555475</xdr:rowOff>
    </xdr:from>
    <xdr:to>
      <xdr:col>11</xdr:col>
      <xdr:colOff>787400</xdr:colOff>
      <xdr:row>17</xdr:row>
      <xdr:rowOff>47211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A1DB1B6-AC6E-A93C-97C7-C6A712FBA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40600" y="5000475"/>
          <a:ext cx="2324100" cy="9141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pane ySplit="7" topLeftCell="A8" activePane="bottomLeft" state="frozen"/>
      <selection pane="bottomLeft" activeCell="G16" sqref="G16"/>
    </sheetView>
  </sheetViews>
  <sheetFormatPr baseColWidth="10" defaultRowHeight="15"/>
  <cols>
    <col min="1" max="1" width="12" style="3" customWidth="1"/>
    <col min="2" max="2" width="6" style="3" bestFit="1" customWidth="1"/>
    <col min="3" max="3" width="14.1640625" style="3" bestFit="1" customWidth="1"/>
    <col min="4" max="4" width="45.5" style="3" bestFit="1" customWidth="1"/>
    <col min="5" max="5" width="44.33203125" style="3" bestFit="1" customWidth="1"/>
    <col min="6" max="6" width="42" style="3" bestFit="1" customWidth="1"/>
    <col min="7" max="7" width="64.33203125" style="3" bestFit="1" customWidth="1"/>
    <col min="8" max="8" width="10" style="3" bestFit="1" customWidth="1"/>
    <col min="9" max="9" width="23.1640625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9</v>
      </c>
      <c r="H1" s="7" t="str">
        <f>H2+H3+H4</f>
        <v/>
      </c>
      <c r="J1" s="9"/>
    </row>
    <row r="2" spans="1:10" s="8" customFormat="1" ht="16">
      <c r="A2" s="10" t="s">
        <v>10</v>
      </c>
      <c r="B2" s="24"/>
      <c r="C2" s="25"/>
      <c r="D2" s="26"/>
      <c r="E2" s="11" t="s">
        <v>11</v>
      </c>
      <c r="F2" s="1"/>
      <c r="G2" s="12" t="s">
        <v>12</v>
      </c>
      <c r="H2" s="13" t="str">
        <f>COUNTIF(H8:H33,G2)</f>
        <v/>
      </c>
      <c r="J2" s="9"/>
    </row>
    <row r="3" spans="1:10" s="8" customFormat="1" ht="16">
      <c r="A3" s="10" t="s">
        <v>13</v>
      </c>
      <c r="B3" s="24"/>
      <c r="C3" s="25"/>
      <c r="D3" s="26"/>
      <c r="E3" s="11" t="s">
        <v>14</v>
      </c>
      <c r="F3" s="2"/>
      <c r="G3" s="14" t="s">
        <v>15</v>
      </c>
      <c r="H3" s="15" t="str">
        <f>COUNTIF(H8:H33,G3)</f>
        <v/>
      </c>
      <c r="J3" s="9"/>
    </row>
    <row r="4" spans="1:10" s="8" customFormat="1" ht="16">
      <c r="A4" s="11" t="s">
        <v>16</v>
      </c>
      <c r="B4" s="24"/>
      <c r="C4" s="25"/>
      <c r="D4" s="26"/>
      <c r="E4" s="10" t="s">
        <v>17</v>
      </c>
      <c r="F4" s="16"/>
      <c r="G4" s="17" t="s">
        <v>18</v>
      </c>
      <c r="H4" s="18" t="str">
        <f>COUNTIF(H8:H33,G4)</f>
        <v/>
      </c>
      <c r="J4" s="9"/>
    </row>
    <row r="5" spans="1:10" s="8" customFormat="1">
      <c r="A5" s="10" t="s">
        <v>19</v>
      </c>
      <c r="B5" s="24"/>
      <c r="C5" s="25"/>
      <c r="D5" s="26"/>
      <c r="E5" s="11" t="s">
        <v>20</v>
      </c>
      <c r="F5" s="16"/>
      <c r="J5" s="9"/>
    </row>
    <row r="6" spans="1:10" s="8" customFormat="1">
      <c r="A6" s="19" t="s">
        <v>21</v>
      </c>
      <c r="B6" s="24"/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 spans="1:10" ht="32">
      <c r="A8" s="3">
        <v>1</v>
      </c>
      <c r="B8" s="4" t="s">
        <v>22</v>
      </c>
      <c r="C8" s="3" t="s">
        <v>23</v>
      </c>
      <c r="D8" s="3" t="s">
        <v>24</v>
      </c>
      <c r="E8" s="5" t="s">
        <v>25</v>
      </c>
      <c r="F8" s="5" t="s">
        <v>133</v>
      </c>
      <c r="G8" s="5" t="s">
        <v>134</v>
      </c>
      <c r="H8" s="23"/>
      <c r="I8" s="3" t="s">
        <v>26</v>
      </c>
    </row>
    <row r="9" spans="1:10" ht="32">
      <c r="A9" s="3">
        <v>2</v>
      </c>
      <c r="B9" s="4" t="s">
        <v>22</v>
      </c>
      <c r="C9" s="3" t="s">
        <v>23</v>
      </c>
      <c r="D9" s="3" t="s">
        <v>27</v>
      </c>
      <c r="E9" s="5" t="s">
        <v>28</v>
      </c>
      <c r="F9" s="5" t="s">
        <v>29</v>
      </c>
      <c r="G9" s="5" t="s">
        <v>30</v>
      </c>
      <c r="H9" s="23"/>
      <c r="I9" s="3" t="s">
        <v>26</v>
      </c>
    </row>
    <row r="10" spans="1:10" ht="32">
      <c r="A10" s="3">
        <v>3</v>
      </c>
      <c r="B10" s="4" t="s">
        <v>22</v>
      </c>
      <c r="C10" s="3" t="s">
        <v>23</v>
      </c>
      <c r="D10" s="3" t="s">
        <v>31</v>
      </c>
      <c r="E10" s="5" t="s">
        <v>32</v>
      </c>
      <c r="F10" s="5" t="s">
        <v>33</v>
      </c>
      <c r="G10" s="5" t="s">
        <v>34</v>
      </c>
      <c r="H10" s="23"/>
      <c r="I10" s="3" t="s">
        <v>26</v>
      </c>
    </row>
    <row r="11" spans="1:10" ht="32">
      <c r="A11" s="3">
        <v>4</v>
      </c>
      <c r="B11" s="4" t="s">
        <v>22</v>
      </c>
      <c r="C11" s="3" t="s">
        <v>23</v>
      </c>
      <c r="D11" s="3" t="s">
        <v>35</v>
      </c>
      <c r="E11" s="5" t="s">
        <v>36</v>
      </c>
      <c r="F11" s="5" t="s">
        <v>37</v>
      </c>
      <c r="G11" s="5" t="s">
        <v>135</v>
      </c>
      <c r="H11" s="23"/>
      <c r="I11" s="3" t="s">
        <v>26</v>
      </c>
    </row>
    <row r="12" spans="1:10" ht="32">
      <c r="A12" s="3">
        <v>5</v>
      </c>
      <c r="B12" s="4" t="s">
        <v>22</v>
      </c>
      <c r="C12" s="3" t="s">
        <v>23</v>
      </c>
      <c r="D12" s="3" t="s">
        <v>38</v>
      </c>
      <c r="E12" s="5" t="s">
        <v>39</v>
      </c>
      <c r="F12" s="5" t="s">
        <v>40</v>
      </c>
      <c r="G12" s="5" t="s">
        <v>136</v>
      </c>
      <c r="H12" s="23"/>
      <c r="I12" s="3" t="s">
        <v>26</v>
      </c>
    </row>
    <row r="13" spans="1:10" ht="48">
      <c r="A13" s="3">
        <v>6</v>
      </c>
      <c r="B13" s="4" t="s">
        <v>22</v>
      </c>
      <c r="C13" s="3" t="s">
        <v>23</v>
      </c>
      <c r="D13" s="3" t="s">
        <v>41</v>
      </c>
      <c r="E13" s="5" t="s">
        <v>42</v>
      </c>
      <c r="F13" s="5" t="s">
        <v>43</v>
      </c>
      <c r="G13" s="5" t="s">
        <v>44</v>
      </c>
      <c r="H13" s="23"/>
      <c r="I13" s="3" t="s">
        <v>45</v>
      </c>
    </row>
    <row r="14" spans="1:10" ht="32">
      <c r="A14" s="3">
        <v>7</v>
      </c>
      <c r="B14" s="4" t="s">
        <v>22</v>
      </c>
      <c r="C14" s="3" t="s">
        <v>23</v>
      </c>
      <c r="D14" s="3" t="s">
        <v>46</v>
      </c>
      <c r="E14" s="5" t="s">
        <v>47</v>
      </c>
      <c r="F14" s="5" t="s">
        <v>48</v>
      </c>
      <c r="G14" s="5" t="s">
        <v>49</v>
      </c>
      <c r="H14" s="23"/>
      <c r="I14" s="3" t="s">
        <v>50</v>
      </c>
    </row>
    <row r="15" spans="1:10" ht="48">
      <c r="A15" s="3">
        <v>8</v>
      </c>
      <c r="B15" s="4" t="s">
        <v>22</v>
      </c>
      <c r="C15" s="3" t="s">
        <v>23</v>
      </c>
      <c r="D15" s="3" t="s">
        <v>51</v>
      </c>
      <c r="E15" s="5" t="s">
        <v>52</v>
      </c>
      <c r="F15" s="5" t="s">
        <v>53</v>
      </c>
      <c r="G15" s="5" t="s">
        <v>54</v>
      </c>
      <c r="H15" s="23"/>
      <c r="I15" s="3" t="s">
        <v>45</v>
      </c>
    </row>
    <row r="16" spans="1:10" ht="32">
      <c r="A16" s="3">
        <v>9</v>
      </c>
      <c r="B16" s="4" t="s">
        <v>22</v>
      </c>
      <c r="C16" s="3" t="s">
        <v>23</v>
      </c>
      <c r="D16" s="3" t="s">
        <v>55</v>
      </c>
      <c r="E16" s="5" t="s">
        <v>56</v>
      </c>
      <c r="F16" s="5" t="s">
        <v>57</v>
      </c>
      <c r="G16" s="5" t="s">
        <v>58</v>
      </c>
      <c r="H16" s="23"/>
      <c r="I16" s="3" t="s">
        <v>59</v>
      </c>
    </row>
    <row r="17" spans="1:9" ht="32">
      <c r="A17" s="3">
        <v>10</v>
      </c>
      <c r="B17" s="4" t="s">
        <v>22</v>
      </c>
      <c r="C17" s="3" t="s">
        <v>23</v>
      </c>
      <c r="D17" s="3" t="s">
        <v>60</v>
      </c>
      <c r="E17" s="5" t="s">
        <v>61</v>
      </c>
      <c r="F17" s="5" t="s">
        <v>62</v>
      </c>
      <c r="G17" s="5" t="s">
        <v>63</v>
      </c>
      <c r="H17" s="23"/>
      <c r="I17" s="3" t="s">
        <v>59</v>
      </c>
    </row>
    <row r="18" spans="1:9" ht="48">
      <c r="A18" s="3">
        <v>11</v>
      </c>
      <c r="B18" s="4" t="s">
        <v>22</v>
      </c>
      <c r="C18" s="3" t="s">
        <v>64</v>
      </c>
      <c r="D18" s="3" t="s">
        <v>65</v>
      </c>
      <c r="E18" s="5" t="s">
        <v>66</v>
      </c>
      <c r="F18" s="5" t="s">
        <v>67</v>
      </c>
      <c r="G18" s="5" t="s">
        <v>68</v>
      </c>
      <c r="H18" s="23"/>
      <c r="I18" s="3" t="s">
        <v>26</v>
      </c>
    </row>
    <row r="19" spans="1:9" ht="32">
      <c r="A19" s="3">
        <v>12</v>
      </c>
      <c r="B19" s="4" t="s">
        <v>22</v>
      </c>
      <c r="C19" s="3" t="s">
        <v>64</v>
      </c>
      <c r="D19" s="3" t="s">
        <v>69</v>
      </c>
      <c r="E19" s="5" t="s">
        <v>70</v>
      </c>
      <c r="F19" s="5" t="s">
        <v>71</v>
      </c>
      <c r="G19" s="5" t="s">
        <v>72</v>
      </c>
      <c r="H19" s="23"/>
      <c r="I19" s="3" t="s">
        <v>26</v>
      </c>
    </row>
    <row r="20" spans="1:9" ht="32">
      <c r="A20" s="3">
        <v>13</v>
      </c>
      <c r="B20" s="4" t="s">
        <v>22</v>
      </c>
      <c r="C20" s="3" t="s">
        <v>64</v>
      </c>
      <c r="D20" s="3" t="s">
        <v>73</v>
      </c>
      <c r="E20" s="5" t="s">
        <v>66</v>
      </c>
      <c r="F20" s="5" t="s">
        <v>74</v>
      </c>
      <c r="G20" s="5" t="s">
        <v>75</v>
      </c>
      <c r="H20" s="23"/>
      <c r="I20" s="3" t="s">
        <v>45</v>
      </c>
    </row>
    <row r="21" spans="1:9" ht="48">
      <c r="A21" s="3">
        <v>14</v>
      </c>
      <c r="B21" s="4" t="s">
        <v>22</v>
      </c>
      <c r="C21" s="3" t="s">
        <v>64</v>
      </c>
      <c r="D21" s="3" t="s">
        <v>76</v>
      </c>
      <c r="E21" s="5" t="s">
        <v>77</v>
      </c>
      <c r="F21" s="5" t="s">
        <v>78</v>
      </c>
      <c r="G21" s="5" t="s">
        <v>79</v>
      </c>
      <c r="H21" s="23"/>
      <c r="I21" s="3" t="s">
        <v>45</v>
      </c>
    </row>
    <row r="22" spans="1:9" ht="32">
      <c r="A22" s="3">
        <v>15</v>
      </c>
      <c r="B22" s="4" t="s">
        <v>22</v>
      </c>
      <c r="C22" s="3" t="s">
        <v>64</v>
      </c>
      <c r="D22" s="3" t="s">
        <v>80</v>
      </c>
      <c r="E22" s="5" t="s">
        <v>81</v>
      </c>
      <c r="F22" s="5" t="s">
        <v>82</v>
      </c>
      <c r="G22" s="5" t="s">
        <v>83</v>
      </c>
      <c r="H22" s="23"/>
      <c r="I22" s="3" t="s">
        <v>59</v>
      </c>
    </row>
    <row r="23" spans="1:9" ht="32">
      <c r="A23" s="3">
        <v>16</v>
      </c>
      <c r="B23" s="4" t="s">
        <v>22</v>
      </c>
      <c r="C23" s="3" t="s">
        <v>64</v>
      </c>
      <c r="D23" s="3" t="s">
        <v>84</v>
      </c>
      <c r="E23" s="5" t="s">
        <v>85</v>
      </c>
      <c r="F23" s="5" t="s">
        <v>86</v>
      </c>
      <c r="G23" s="5" t="s">
        <v>87</v>
      </c>
      <c r="H23" s="23"/>
      <c r="I23" s="3" t="s">
        <v>45</v>
      </c>
    </row>
    <row r="24" spans="1:9" ht="48">
      <c r="A24" s="3">
        <v>17</v>
      </c>
      <c r="B24" s="4" t="s">
        <v>22</v>
      </c>
      <c r="C24" s="3" t="s">
        <v>64</v>
      </c>
      <c r="D24" s="3" t="s">
        <v>88</v>
      </c>
      <c r="E24" s="5" t="s">
        <v>89</v>
      </c>
      <c r="F24" s="5" t="s">
        <v>90</v>
      </c>
      <c r="G24" s="5" t="s">
        <v>91</v>
      </c>
      <c r="H24" s="23"/>
      <c r="I24" s="3" t="s">
        <v>26</v>
      </c>
    </row>
    <row r="25" spans="1:9" ht="48">
      <c r="A25" s="3">
        <v>18</v>
      </c>
      <c r="B25" s="4" t="s">
        <v>22</v>
      </c>
      <c r="C25" s="3" t="s">
        <v>64</v>
      </c>
      <c r="D25" s="3" t="s">
        <v>92</v>
      </c>
      <c r="E25" s="5" t="s">
        <v>93</v>
      </c>
      <c r="F25" s="5" t="s">
        <v>94</v>
      </c>
      <c r="G25" s="5" t="s">
        <v>95</v>
      </c>
      <c r="H25" s="23"/>
      <c r="I25" s="3" t="s">
        <v>96</v>
      </c>
    </row>
    <row r="26" spans="1:9" ht="32">
      <c r="A26" s="3">
        <v>19</v>
      </c>
      <c r="B26" s="4" t="s">
        <v>22</v>
      </c>
      <c r="C26" s="3" t="s">
        <v>64</v>
      </c>
      <c r="D26" s="3" t="s">
        <v>97</v>
      </c>
      <c r="E26" s="5" t="s">
        <v>98</v>
      </c>
      <c r="F26" s="5" t="s">
        <v>99</v>
      </c>
      <c r="G26" s="5" t="s">
        <v>100</v>
      </c>
      <c r="H26" s="23"/>
      <c r="I26" s="3" t="s">
        <v>50</v>
      </c>
    </row>
    <row r="27" spans="1:9" ht="32">
      <c r="A27" s="3">
        <v>20</v>
      </c>
      <c r="B27" s="4" t="s">
        <v>22</v>
      </c>
      <c r="C27" s="3" t="s">
        <v>64</v>
      </c>
      <c r="D27" s="3" t="s">
        <v>101</v>
      </c>
      <c r="E27" s="5" t="s">
        <v>102</v>
      </c>
      <c r="F27" s="5" t="s">
        <v>103</v>
      </c>
      <c r="G27" s="5" t="s">
        <v>104</v>
      </c>
      <c r="H27" s="23"/>
      <c r="I27" s="3" t="s">
        <v>50</v>
      </c>
    </row>
    <row r="28" spans="1:9" ht="32">
      <c r="A28" s="3">
        <v>21</v>
      </c>
      <c r="B28" s="4" t="s">
        <v>22</v>
      </c>
      <c r="C28" s="3" t="s">
        <v>64</v>
      </c>
      <c r="D28" s="3" t="s">
        <v>105</v>
      </c>
      <c r="E28" s="5" t="s">
        <v>106</v>
      </c>
      <c r="F28" s="5" t="s">
        <v>107</v>
      </c>
      <c r="G28" s="5" t="s">
        <v>108</v>
      </c>
      <c r="H28" s="23"/>
      <c r="I28" s="3" t="s">
        <v>59</v>
      </c>
    </row>
    <row r="29" spans="1:9" ht="32">
      <c r="A29" s="3">
        <v>22</v>
      </c>
      <c r="B29" s="4" t="s">
        <v>22</v>
      </c>
      <c r="C29" s="3" t="s">
        <v>64</v>
      </c>
      <c r="D29" s="3" t="s">
        <v>109</v>
      </c>
      <c r="E29" s="5" t="s">
        <v>110</v>
      </c>
      <c r="F29" s="5" t="s">
        <v>111</v>
      </c>
      <c r="G29" s="5" t="s">
        <v>112</v>
      </c>
      <c r="H29" s="23"/>
      <c r="I29" s="3" t="s">
        <v>59</v>
      </c>
    </row>
    <row r="30" spans="1:9" ht="48">
      <c r="A30" s="3">
        <v>23</v>
      </c>
      <c r="B30" s="4" t="s">
        <v>22</v>
      </c>
      <c r="C30" s="3" t="s">
        <v>64</v>
      </c>
      <c r="D30" s="3" t="s">
        <v>113</v>
      </c>
      <c r="E30" s="5" t="s">
        <v>114</v>
      </c>
      <c r="F30" s="5" t="s">
        <v>115</v>
      </c>
      <c r="G30" s="5" t="s">
        <v>116</v>
      </c>
      <c r="H30" s="23"/>
      <c r="I30" s="3" t="s">
        <v>117</v>
      </c>
    </row>
    <row r="31" spans="1:9" ht="48">
      <c r="A31" s="3">
        <v>24</v>
      </c>
      <c r="B31" s="4" t="s">
        <v>22</v>
      </c>
      <c r="C31" s="3" t="s">
        <v>118</v>
      </c>
      <c r="D31" s="3" t="s">
        <v>119</v>
      </c>
      <c r="E31" s="5" t="s">
        <v>120</v>
      </c>
      <c r="F31" s="5" t="s">
        <v>121</v>
      </c>
      <c r="G31" s="5" t="s">
        <v>122</v>
      </c>
      <c r="H31" s="23"/>
      <c r="I31" s="3" t="s">
        <v>123</v>
      </c>
    </row>
    <row r="32" spans="1:9" ht="32">
      <c r="A32" s="3">
        <v>25</v>
      </c>
      <c r="B32" s="4" t="s">
        <v>22</v>
      </c>
      <c r="C32" s="3" t="s">
        <v>64</v>
      </c>
      <c r="D32" s="3" t="s">
        <v>124</v>
      </c>
      <c r="E32" s="5" t="s">
        <v>125</v>
      </c>
      <c r="F32" s="5" t="s">
        <v>126</v>
      </c>
      <c r="G32" s="5" t="s">
        <v>127</v>
      </c>
      <c r="H32" s="23"/>
      <c r="I32" s="3" t="s">
        <v>123</v>
      </c>
    </row>
    <row r="33" spans="1:9" ht="32">
      <c r="A33" s="3">
        <v>26</v>
      </c>
      <c r="B33" s="4" t="s">
        <v>22</v>
      </c>
      <c r="C33" s="3" t="s">
        <v>23</v>
      </c>
      <c r="D33" s="3" t="s">
        <v>128</v>
      </c>
      <c r="E33" s="5" t="s">
        <v>129</v>
      </c>
      <c r="F33" s="5" t="s">
        <v>130</v>
      </c>
      <c r="G33" s="5" t="s">
        <v>131</v>
      </c>
      <c r="H33" s="23"/>
      <c r="I33" s="3" t="s">
        <v>132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33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33" xr:uid="{6D313415-9866-2748-A225-74ED3EBC45DC}">
      <formula1>$G$2:$G$4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2026-04-03T06:42:48Z</dcterms:modified>
</cp:coreProperties>
</file>