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5"/>
  <workbookPr/>
  <xr:revisionPtr revIDLastSave="0" documentId="11_6F7E615EA41398832FCE0071B39323A7D955E0FC" xr6:coauthVersionLast="47" xr6:coauthVersionMax="47" xr10:uidLastSave="{00000000-0000-0000-0000-000000000000}"/>
  <bookViews>
    <workbookView xWindow="0" yWindow="0" windowWidth="31900" windowHeight="15300" xr2:uid="{00000000-000D-0000-FFFF-FFFF00000000}"/>
  </bookViews>
  <sheets>
    <sheet name="自定义皮肤新增Banner高度选项" sheetId="2" r:id="rId1"/>
    <sheet name="功能位置" sheetId="8" r:id="rId2"/>
    <sheet name="需求迭代" sheetId="7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2" l="1"/>
  <c r="H2" i="2"/>
  <c r="H1" i="2"/>
</calcChain>
</file>

<file path=xl/sharedStrings.xml><?xml version="1.0" encoding="utf-8"?>
<sst xmlns="http://schemas.openxmlformats.org/spreadsheetml/2006/main" count="58" uniqueCount="45">
  <si>
    <t>自定义皮肤新增Banner高度选项</t>
  </si>
  <si>
    <t>测试总数量</t>
  </si>
  <si>
    <t>测试平台</t>
  </si>
  <si>
    <t>web5</t>
  </si>
  <si>
    <t>测试日期</t>
  </si>
  <si>
    <t>Pass</t>
  </si>
  <si>
    <t>系统&amp;版本</t>
  </si>
  <si>
    <t>最后更新</t>
  </si>
  <si>
    <t>Fail</t>
  </si>
  <si>
    <t>文档编写人</t>
  </si>
  <si>
    <t>文档测试人</t>
  </si>
  <si>
    <t>N/A</t>
  </si>
  <si>
    <t>策划负责人</t>
  </si>
  <si>
    <t>审阅人员</t>
  </si>
  <si>
    <t>参考档</t>
  </si>
  <si>
    <t>序号</t>
  </si>
  <si>
    <t>平台</t>
  </si>
  <si>
    <t>模块</t>
  </si>
  <si>
    <t>功能点</t>
  </si>
  <si>
    <t>前置条件（测试点）</t>
  </si>
  <si>
    <t>操作步骤</t>
  </si>
  <si>
    <t>预期结果</t>
  </si>
  <si>
    <t>测试结果</t>
  </si>
  <si>
    <t>图片</t>
  </si>
  <si>
    <t>备注</t>
  </si>
  <si>
    <t>帐服</t>
  </si>
  <si>
    <t>自定义皮肤</t>
  </si>
  <si>
    <t>轮播图尺寸自定义新增样式</t>
  </si>
  <si>
    <t>Banner模版选择：多卡片/测滑</t>
  </si>
  <si>
    <t>进入自定义皮肤-轮播图页面，查看Banner高度选项</t>
  </si>
  <si>
    <t>展示新增的高度3、4</t>
  </si>
  <si>
    <t>通栏展示保持不变</t>
  </si>
  <si>
    <t>Banner模版选择：通栏</t>
  </si>
  <si>
    <t>只展示高度1、2，保持不变</t>
  </si>
  <si>
    <t>帐服/客户端</t>
  </si>
  <si>
    <t>Banner图展示</t>
  </si>
  <si>
    <t>自定义Banner高度</t>
  </si>
  <si>
    <t>Banner模版选择：多卡片
Banner高度：高度3
已配置Banner图</t>
  </si>
  <si>
    <t>进入客户端大厅，查看Banner图展示情况</t>
  </si>
  <si>
    <t>Banner图的高度根据配置的高度展示</t>
  </si>
  <si>
    <t>Banner模版选择：多卡片
Banner高度：高度4
已配置Banner图</t>
  </si>
  <si>
    <t>Banner模版选择：测滑
Banner高度：高度3
已配置Banner图</t>
  </si>
  <si>
    <t>Banner模版选择：测滑
Banner高度：高度4
已配置Banner图</t>
  </si>
  <si>
    <t>提示频繁</t>
  </si>
  <si>
    <t>TASK#42788 【测试单】自定义皮肤新增Banner高度选项 --账服--测试 / V2.6.0（0304） - 禅道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</si>
</sst>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宋体"/>
      <charset val="134"/>
      <scheme val="minor"/>
    </font>
    <font>
      <u/>
      <sz val="10"/>
      <color rgb="FF1155CC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2"/>
      <color rgb="FF333333"/>
      <name val="宋体"/>
      <charset val="134"/>
    </font>
    <font>
      <sz val="12"/>
      <color rgb="FF000000"/>
      <name val="宋体"/>
      <charset val="134"/>
    </font>
    <font>
      <b/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2"/>
      <color theme="0"/>
      <name val="宋体"/>
      <charset val="136"/>
      <scheme val="minor"/>
    </font>
    <font>
      <b/>
      <sz val="12"/>
      <color theme="1"/>
      <name val="宋体"/>
      <charset val="136"/>
      <scheme val="minor"/>
    </font>
    <font>
      <b/>
      <sz val="12"/>
      <name val="宋体"/>
      <charset val="136"/>
      <scheme val="minor"/>
    </font>
    <font>
      <b/>
      <sz val="12"/>
      <color rgb="FF0000FF"/>
      <name val="宋体"/>
      <charset val="136"/>
      <scheme val="minor"/>
    </font>
    <font>
      <b/>
      <sz val="12"/>
      <color rgb="FFFF0000"/>
      <name val="宋体"/>
      <charset val="136"/>
      <scheme val="minor"/>
    </font>
    <font>
      <b/>
      <sz val="12"/>
      <color rgb="FF7030A0"/>
      <name val="宋体"/>
      <charset val="136"/>
      <scheme val="minor"/>
    </font>
    <font>
      <sz val="12"/>
      <color theme="1"/>
      <name val="宋体"/>
      <charset val="136"/>
      <scheme val="minor"/>
    </font>
    <font>
      <b/>
      <sz val="12"/>
      <color rgb="FF000000"/>
      <name val="宋体"/>
      <charset val="134"/>
      <scheme val="minor"/>
    </font>
    <font>
      <sz val="12"/>
      <color rgb="FF000000"/>
      <name val="宋体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  <xf numFmtId="0" fontId="15" fillId="0" borderId="0">
      <alignment vertical="center"/>
    </xf>
  </cellStyleXfs>
  <cellXfs count="55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justify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7" fillId="0" borderId="0" xfId="0" applyFont="1" applyAlignment="1">
      <alignment vertical="center"/>
    </xf>
    <xf numFmtId="0" fontId="8" fillId="2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vertical="center"/>
    </xf>
    <xf numFmtId="0" fontId="9" fillId="4" borderId="1" xfId="2" applyFont="1" applyFill="1" applyBorder="1" applyAlignment="1">
      <alignment horizontal="center" vertical="center"/>
    </xf>
    <xf numFmtId="0" fontId="10" fillId="2" borderId="1" xfId="2" applyFont="1" applyFill="1" applyBorder="1" applyAlignment="1">
      <alignment horizontal="center" vertical="center"/>
    </xf>
    <xf numFmtId="49" fontId="9" fillId="5" borderId="1" xfId="0" applyNumberFormat="1" applyFont="1" applyFill="1" applyBorder="1" applyAlignment="1">
      <alignment horizontal="center" vertical="center"/>
    </xf>
    <xf numFmtId="49" fontId="11" fillId="2" borderId="1" xfId="0" applyNumberFormat="1" applyFont="1" applyFill="1" applyBorder="1" applyAlignment="1">
      <alignment horizontal="center" vertical="center"/>
    </xf>
    <xf numFmtId="49" fontId="9" fillId="2" borderId="1" xfId="0" applyNumberFormat="1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14" fontId="10" fillId="2" borderId="1" xfId="2" applyNumberFormat="1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center" vertical="center"/>
    </xf>
    <xf numFmtId="46" fontId="10" fillId="2" borderId="1" xfId="2" applyNumberFormat="1" applyFont="1" applyFill="1" applyBorder="1" applyAlignment="1">
      <alignment horizontal="center" vertical="center"/>
    </xf>
    <xf numFmtId="0" fontId="13" fillId="2" borderId="1" xfId="2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4" fillId="2" borderId="1" xfId="2" applyFont="1" applyFill="1" applyBorder="1" applyAlignment="1">
      <alignment horizontal="center" vertical="center"/>
    </xf>
    <xf numFmtId="0" fontId="9" fillId="5" borderId="1" xfId="2" applyFont="1" applyFill="1" applyBorder="1" applyAlignment="1">
      <alignment horizontal="center" vertical="center"/>
    </xf>
    <xf numFmtId="0" fontId="9" fillId="2" borderId="1" xfId="2" applyFont="1" applyFill="1" applyBorder="1" applyAlignment="1">
      <alignment horizontal="center" vertical="center"/>
    </xf>
    <xf numFmtId="0" fontId="15" fillId="0" borderId="1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/>
    </xf>
    <xf numFmtId="0" fontId="16" fillId="7" borderId="1" xfId="0" applyFont="1" applyFill="1" applyBorder="1" applyAlignment="1">
      <alignment horizontal="center" vertical="center" wrapText="1"/>
    </xf>
    <xf numFmtId="0" fontId="17" fillId="7" borderId="1" xfId="0" applyFont="1" applyFill="1" applyBorder="1" applyAlignment="1">
      <alignment horizontal="center" vertical="center" wrapText="1"/>
    </xf>
    <xf numFmtId="0" fontId="17" fillId="7" borderId="1" xfId="0" applyFont="1" applyFill="1" applyBorder="1" applyAlignment="1">
      <alignment horizontal="left" vertical="center" wrapText="1"/>
    </xf>
    <xf numFmtId="0" fontId="15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6" fillId="0" borderId="1" xfId="0" applyFont="1" applyFill="1" applyBorder="1" applyAlignment="1">
      <alignment horizontal="center" vertical="center" wrapText="1"/>
    </xf>
    <xf numFmtId="0" fontId="17" fillId="0" borderId="1" xfId="0" applyFont="1" applyFill="1" applyBorder="1" applyAlignment="1">
      <alignment horizontal="center" vertical="center" wrapText="1"/>
    </xf>
    <xf numFmtId="0" fontId="17" fillId="0" borderId="1" xfId="0" applyFont="1" applyFill="1" applyBorder="1" applyAlignment="1">
      <alignment horizontal="left" vertical="center" wrapText="1"/>
    </xf>
    <xf numFmtId="0" fontId="9" fillId="3" borderId="2" xfId="2" applyFont="1" applyFill="1" applyBorder="1" applyAlignment="1">
      <alignment horizontal="center" vertical="center"/>
    </xf>
    <xf numFmtId="0" fontId="9" fillId="3" borderId="3" xfId="2" applyFont="1" applyFill="1" applyBorder="1" applyAlignment="1">
      <alignment horizontal="center" vertical="center"/>
    </xf>
    <xf numFmtId="0" fontId="9" fillId="3" borderId="3" xfId="2" applyFont="1" applyFill="1" applyBorder="1" applyAlignment="1">
      <alignment horizontal="left" vertical="center"/>
    </xf>
    <xf numFmtId="0" fontId="9" fillId="3" borderId="4" xfId="2" applyFont="1" applyFill="1" applyBorder="1" applyAlignment="1">
      <alignment horizontal="left" vertical="center"/>
    </xf>
    <xf numFmtId="0" fontId="17" fillId="7" borderId="5" xfId="0" applyFont="1" applyFill="1" applyBorder="1" applyAlignment="1">
      <alignment horizontal="center" vertical="center" wrapText="1"/>
    </xf>
    <xf numFmtId="0" fontId="17" fillId="7" borderId="6" xfId="0" applyFont="1" applyFill="1" applyBorder="1" applyAlignment="1">
      <alignment horizontal="center" vertical="center" wrapText="1"/>
    </xf>
    <xf numFmtId="0" fontId="17" fillId="7" borderId="7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Alignment="1">
      <alignment horizontal="center" vertical="center"/>
    </xf>
  </cellXfs>
  <cellStyles count="3">
    <cellStyle name="常规" xfId="0" builtinId="0"/>
    <cellStyle name="超链接" xfId="1" builtinId="8"/>
    <cellStyle name="一般 10" xfId="2" xr:uid="{00000000-0005-0000-0000-000031000000}"/>
  </cellStyles>
  <dxfs count="147"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7030A0"/>
      </font>
    </dxf>
    <dxf>
      <font>
        <b val="0"/>
        <i val="0"/>
        <color rgb="FFFF0000"/>
      </font>
    </dxf>
    <dxf>
      <font>
        <b val="0"/>
        <i val="0"/>
        <color rgb="FF0000FF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75565</xdr:colOff>
      <xdr:row>8</xdr:row>
      <xdr:rowOff>64135</xdr:rowOff>
    </xdr:from>
    <xdr:to>
      <xdr:col>8</xdr:col>
      <xdr:colOff>628650</xdr:colOff>
      <xdr:row>8</xdr:row>
      <xdr:rowOff>464820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978370" y="1753870"/>
          <a:ext cx="553085" cy="4006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719455</xdr:colOff>
      <xdr:row>8</xdr:row>
      <xdr:rowOff>41910</xdr:rowOff>
    </xdr:from>
    <xdr:to>
      <xdr:col>8</xdr:col>
      <xdr:colOff>1279525</xdr:colOff>
      <xdr:row>8</xdr:row>
      <xdr:rowOff>446405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622260" y="1731645"/>
          <a:ext cx="560070" cy="4044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74930</xdr:colOff>
      <xdr:row>9</xdr:row>
      <xdr:rowOff>76835</xdr:rowOff>
    </xdr:from>
    <xdr:to>
      <xdr:col>8</xdr:col>
      <xdr:colOff>845820</xdr:colOff>
      <xdr:row>9</xdr:row>
      <xdr:rowOff>689610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977735" y="2364740"/>
          <a:ext cx="770890" cy="6127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105410</xdr:colOff>
      <xdr:row>10</xdr:row>
      <xdr:rowOff>77470</xdr:rowOff>
    </xdr:from>
    <xdr:to>
      <xdr:col>8</xdr:col>
      <xdr:colOff>1061085</xdr:colOff>
      <xdr:row>10</xdr:row>
      <xdr:rowOff>674370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0008215" y="3228975"/>
          <a:ext cx="955675" cy="596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159385</xdr:colOff>
      <xdr:row>11</xdr:row>
      <xdr:rowOff>89535</xdr:rowOff>
    </xdr:from>
    <xdr:to>
      <xdr:col>8</xdr:col>
      <xdr:colOff>1038860</xdr:colOff>
      <xdr:row>11</xdr:row>
      <xdr:rowOff>681355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0062190" y="4104640"/>
          <a:ext cx="879475" cy="5918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149225</xdr:colOff>
      <xdr:row>13</xdr:row>
      <xdr:rowOff>91440</xdr:rowOff>
    </xdr:from>
    <xdr:to>
      <xdr:col>8</xdr:col>
      <xdr:colOff>908685</xdr:colOff>
      <xdr:row>13</xdr:row>
      <xdr:rowOff>646430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0052030" y="5821045"/>
          <a:ext cx="759460" cy="5549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137795</xdr:colOff>
      <xdr:row>12</xdr:row>
      <xdr:rowOff>54610</xdr:rowOff>
    </xdr:from>
    <xdr:to>
      <xdr:col>8</xdr:col>
      <xdr:colOff>972820</xdr:colOff>
      <xdr:row>12</xdr:row>
      <xdr:rowOff>712470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0040600" y="4907915"/>
          <a:ext cx="835025" cy="65786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</xdr:colOff>
      <xdr:row>0</xdr:row>
      <xdr:rowOff>1270</xdr:rowOff>
    </xdr:from>
    <xdr:to>
      <xdr:col>20</xdr:col>
      <xdr:colOff>233045</xdr:colOff>
      <xdr:row>29</xdr:row>
      <xdr:rowOff>50800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70" y="1270"/>
          <a:ext cx="12515215" cy="62674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cd.baa360.cc:20088/index.php?m=task&amp;f=view&amp;taskID=4278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5"/>
  <sheetViews>
    <sheetView tabSelected="1" workbookViewId="0">
      <pane ySplit="8" topLeftCell="A9" activePane="bottomLeft" state="frozen"/>
      <selection pane="bottomLeft" activeCell="B9" sqref="B9:B10"/>
    </sheetView>
  </sheetViews>
  <sheetFormatPr defaultColWidth="9" defaultRowHeight="17.649999999999999"/>
  <cols>
    <col min="1" max="2" width="25.75" style="12" customWidth="1"/>
    <col min="3" max="3" width="30.625" style="13" customWidth="1"/>
    <col min="4" max="4" width="29.5" style="13" customWidth="1"/>
    <col min="5" max="5" width="68.125" style="14" customWidth="1"/>
    <col min="6" max="6" width="65.25" style="14" customWidth="1"/>
    <col min="7" max="7" width="47.375" style="14" customWidth="1"/>
    <col min="8" max="8" width="9" style="13"/>
    <col min="9" max="9" width="36.125" style="13" customWidth="1"/>
    <col min="10" max="10" width="19" style="13" customWidth="1"/>
    <col min="11" max="16384" width="9" style="15"/>
  </cols>
  <sheetData>
    <row r="1" spans="1:10" ht="16.5" customHeight="1">
      <c r="A1" s="42" t="s">
        <v>0</v>
      </c>
      <c r="B1" s="43"/>
      <c r="C1" s="43"/>
      <c r="D1" s="43"/>
      <c r="E1" s="44"/>
      <c r="F1" s="45"/>
      <c r="G1" s="16" t="s">
        <v>1</v>
      </c>
      <c r="H1" s="17">
        <f>COUNT(A1:A249)</f>
        <v>6</v>
      </c>
    </row>
    <row r="2" spans="1:10">
      <c r="A2" s="18" t="s">
        <v>2</v>
      </c>
      <c r="B2" s="19" t="s">
        <v>3</v>
      </c>
      <c r="C2" s="20"/>
      <c r="D2" s="20"/>
      <c r="E2" s="21" t="s">
        <v>4</v>
      </c>
      <c r="F2" s="22">
        <v>46081</v>
      </c>
      <c r="G2" s="23" t="s">
        <v>5</v>
      </c>
      <c r="H2" s="23">
        <f>COUNTIF(H9:H243,"Pass")</f>
        <v>6</v>
      </c>
    </row>
    <row r="3" spans="1:10" ht="16.5" customHeight="1">
      <c r="A3" s="18" t="s">
        <v>6</v>
      </c>
      <c r="B3" s="20"/>
      <c r="C3" s="20"/>
      <c r="D3" s="20"/>
      <c r="E3" s="21" t="s">
        <v>7</v>
      </c>
      <c r="F3" s="24"/>
      <c r="G3" s="25" t="s">
        <v>8</v>
      </c>
      <c r="H3" s="25">
        <f>COUNTIF(H9:H243,"Fail")</f>
        <v>0</v>
      </c>
    </row>
    <row r="4" spans="1:10" ht="16.5" customHeight="1">
      <c r="A4" s="21" t="s">
        <v>9</v>
      </c>
      <c r="B4" s="26"/>
      <c r="C4" s="26"/>
      <c r="D4" s="26"/>
      <c r="E4" s="18" t="s">
        <v>10</v>
      </c>
      <c r="F4" s="27"/>
      <c r="G4" s="28" t="s">
        <v>11</v>
      </c>
      <c r="H4" s="28"/>
    </row>
    <row r="5" spans="1:10" ht="16.5" customHeight="1">
      <c r="A5" s="18" t="s">
        <v>12</v>
      </c>
      <c r="B5" s="20"/>
      <c r="C5" s="20"/>
      <c r="D5" s="20"/>
      <c r="E5" s="21" t="s">
        <v>13</v>
      </c>
      <c r="F5" s="27"/>
      <c r="G5" s="13"/>
    </row>
    <row r="6" spans="1:10">
      <c r="A6" s="29" t="s">
        <v>14</v>
      </c>
      <c r="B6" s="30"/>
      <c r="C6" s="30"/>
      <c r="D6" s="30"/>
      <c r="E6" s="31"/>
      <c r="F6" s="31"/>
      <c r="G6" s="31"/>
    </row>
    <row r="7" spans="1:10" ht="14.25" customHeight="1">
      <c r="E7" s="13"/>
      <c r="F7" s="13"/>
      <c r="G7" s="13"/>
    </row>
    <row r="8" spans="1:10">
      <c r="A8" s="32" t="s">
        <v>15</v>
      </c>
      <c r="B8" s="32" t="s">
        <v>16</v>
      </c>
      <c r="C8" s="32" t="s">
        <v>17</v>
      </c>
      <c r="D8" s="32" t="s">
        <v>18</v>
      </c>
      <c r="E8" s="32" t="s">
        <v>19</v>
      </c>
      <c r="F8" s="32" t="s">
        <v>20</v>
      </c>
      <c r="G8" s="32" t="s">
        <v>21</v>
      </c>
      <c r="H8" s="32" t="s">
        <v>22</v>
      </c>
      <c r="I8" s="32" t="s">
        <v>23</v>
      </c>
      <c r="J8" s="32" t="s">
        <v>24</v>
      </c>
    </row>
    <row r="9" spans="1:10" s="10" customFormat="1" ht="47.1" customHeight="1">
      <c r="A9" s="33">
        <v>1</v>
      </c>
      <c r="B9" s="46" t="s">
        <v>25</v>
      </c>
      <c r="C9" s="46" t="s">
        <v>26</v>
      </c>
      <c r="D9" s="34" t="s">
        <v>27</v>
      </c>
      <c r="E9" s="35" t="s">
        <v>28</v>
      </c>
      <c r="F9" s="35" t="s">
        <v>29</v>
      </c>
      <c r="G9" s="35" t="s">
        <v>30</v>
      </c>
      <c r="H9" s="36" t="s">
        <v>5</v>
      </c>
      <c r="I9" s="34"/>
      <c r="J9" s="37"/>
    </row>
    <row r="10" spans="1:10" s="10" customFormat="1" ht="68.099999999999994" customHeight="1">
      <c r="A10" s="33">
        <v>2</v>
      </c>
      <c r="B10" s="47"/>
      <c r="C10" s="47"/>
      <c r="D10" s="34" t="s">
        <v>31</v>
      </c>
      <c r="E10" s="35" t="s">
        <v>32</v>
      </c>
      <c r="F10" s="35" t="s">
        <v>29</v>
      </c>
      <c r="G10" s="35" t="s">
        <v>33</v>
      </c>
      <c r="H10" s="36" t="s">
        <v>5</v>
      </c>
      <c r="I10" s="34"/>
      <c r="J10" s="37"/>
    </row>
    <row r="11" spans="1:10" s="10" customFormat="1" ht="68.099999999999994" customHeight="1">
      <c r="A11" s="33">
        <v>3</v>
      </c>
      <c r="B11" s="46" t="s">
        <v>34</v>
      </c>
      <c r="C11" s="46" t="s">
        <v>35</v>
      </c>
      <c r="D11" s="46" t="s">
        <v>36</v>
      </c>
      <c r="E11" s="35" t="s">
        <v>37</v>
      </c>
      <c r="F11" s="35" t="s">
        <v>38</v>
      </c>
      <c r="G11" s="35" t="s">
        <v>39</v>
      </c>
      <c r="H11" s="36" t="s">
        <v>5</v>
      </c>
      <c r="I11" s="34"/>
      <c r="J11" s="37"/>
    </row>
    <row r="12" spans="1:10" s="10" customFormat="1" ht="66" customHeight="1">
      <c r="A12" s="33">
        <v>4</v>
      </c>
      <c r="B12" s="48"/>
      <c r="C12" s="48"/>
      <c r="D12" s="48"/>
      <c r="E12" s="35" t="s">
        <v>40</v>
      </c>
      <c r="F12" s="35" t="s">
        <v>38</v>
      </c>
      <c r="G12" s="35" t="s">
        <v>39</v>
      </c>
      <c r="H12" s="36" t="s">
        <v>5</v>
      </c>
      <c r="I12" s="34"/>
      <c r="J12" s="37"/>
    </row>
    <row r="13" spans="1:10" s="11" customFormat="1" ht="69" customHeight="1">
      <c r="A13" s="33">
        <v>5</v>
      </c>
      <c r="B13" s="48"/>
      <c r="C13" s="48"/>
      <c r="D13" s="48"/>
      <c r="E13" s="35" t="s">
        <v>41</v>
      </c>
      <c r="F13" s="35" t="s">
        <v>38</v>
      </c>
      <c r="G13" s="35" t="s">
        <v>39</v>
      </c>
      <c r="H13" s="36" t="s">
        <v>5</v>
      </c>
      <c r="I13" s="34"/>
      <c r="J13" s="38"/>
    </row>
    <row r="14" spans="1:10" s="11" customFormat="1" ht="59.1" customHeight="1">
      <c r="A14" s="33">
        <v>6</v>
      </c>
      <c r="B14" s="47"/>
      <c r="C14" s="47"/>
      <c r="D14" s="47"/>
      <c r="E14" s="35" t="s">
        <v>42</v>
      </c>
      <c r="F14" s="35" t="s">
        <v>38</v>
      </c>
      <c r="G14" s="35" t="s">
        <v>39</v>
      </c>
      <c r="H14" s="36" t="s">
        <v>5</v>
      </c>
      <c r="I14" s="34"/>
      <c r="J14" s="13"/>
    </row>
    <row r="15" spans="1:10" s="11" customFormat="1" ht="63" customHeight="1">
      <c r="A15" s="33"/>
      <c r="B15" s="34"/>
      <c r="C15" s="34"/>
      <c r="D15" s="34"/>
      <c r="E15" s="35"/>
      <c r="F15" s="35"/>
      <c r="G15" s="35"/>
      <c r="H15" s="36"/>
      <c r="I15" s="34"/>
      <c r="J15" s="13"/>
    </row>
    <row r="16" spans="1:10" s="11" customFormat="1" ht="68.099999999999994" customHeight="1">
      <c r="A16" s="33"/>
      <c r="B16" s="34"/>
      <c r="C16" s="34"/>
      <c r="D16" s="34"/>
      <c r="E16" s="35"/>
      <c r="F16" s="35"/>
      <c r="G16" s="35"/>
      <c r="H16" s="36"/>
      <c r="I16" s="34"/>
      <c r="J16" s="13"/>
    </row>
    <row r="17" spans="1:10" s="11" customFormat="1" ht="45.95" customHeight="1">
      <c r="A17" s="33"/>
      <c r="B17" s="34"/>
      <c r="C17" s="34"/>
      <c r="D17" s="34"/>
      <c r="E17" s="35"/>
      <c r="F17" s="35"/>
      <c r="G17" s="35"/>
      <c r="H17" s="36"/>
      <c r="I17" s="34"/>
      <c r="J17" s="13"/>
    </row>
    <row r="18" spans="1:10" s="11" customFormat="1" ht="57" customHeight="1">
      <c r="A18" s="33"/>
      <c r="B18" s="34"/>
      <c r="C18" s="34"/>
      <c r="D18" s="34"/>
      <c r="E18" s="35"/>
      <c r="F18" s="35"/>
      <c r="G18" s="35"/>
      <c r="H18" s="36"/>
      <c r="I18" s="34"/>
      <c r="J18" s="13"/>
    </row>
    <row r="19" spans="1:10" ht="30" customHeight="1">
      <c r="A19" s="33"/>
      <c r="B19" s="34"/>
      <c r="C19" s="34"/>
      <c r="D19" s="34"/>
      <c r="E19" s="35"/>
      <c r="F19" s="35"/>
      <c r="G19" s="35"/>
      <c r="H19" s="36"/>
      <c r="I19" s="34"/>
    </row>
    <row r="20" spans="1:10" ht="30" customHeight="1">
      <c r="A20" s="33"/>
      <c r="B20" s="34"/>
      <c r="C20" s="34"/>
      <c r="D20" s="34"/>
      <c r="E20" s="35"/>
      <c r="F20" s="35"/>
      <c r="G20" s="35"/>
      <c r="H20" s="36"/>
      <c r="I20" s="34"/>
    </row>
    <row r="21" spans="1:10" ht="30" customHeight="1">
      <c r="A21" s="33"/>
      <c r="B21" s="34"/>
      <c r="C21" s="34"/>
      <c r="D21" s="34"/>
      <c r="E21" s="35"/>
      <c r="F21" s="35"/>
      <c r="G21" s="35"/>
      <c r="H21" s="36"/>
      <c r="I21" s="34"/>
    </row>
    <row r="22" spans="1:10" ht="30" customHeight="1">
      <c r="A22" s="33"/>
      <c r="B22" s="34"/>
      <c r="C22" s="34"/>
      <c r="D22" s="34"/>
      <c r="E22" s="35"/>
      <c r="F22" s="35"/>
      <c r="G22" s="35"/>
      <c r="H22" s="36"/>
      <c r="I22" s="34"/>
    </row>
    <row r="23" spans="1:10" ht="30" customHeight="1">
      <c r="A23" s="33"/>
      <c r="B23" s="34"/>
      <c r="C23" s="34"/>
      <c r="D23" s="34"/>
      <c r="E23" s="35"/>
      <c r="F23" s="35"/>
      <c r="G23" s="35"/>
      <c r="H23" s="36"/>
      <c r="I23" s="34"/>
    </row>
    <row r="24" spans="1:10" ht="30" customHeight="1">
      <c r="A24" s="33"/>
      <c r="B24" s="34"/>
      <c r="C24" s="34"/>
      <c r="D24" s="34"/>
      <c r="E24" s="35"/>
      <c r="F24" s="35"/>
      <c r="G24" s="35"/>
      <c r="H24" s="36"/>
      <c r="I24" s="34"/>
    </row>
    <row r="25" spans="1:10" ht="30" customHeight="1">
      <c r="A25" s="33"/>
      <c r="B25" s="34"/>
      <c r="C25" s="34"/>
      <c r="D25" s="34"/>
      <c r="E25" s="35"/>
      <c r="F25" s="35"/>
      <c r="G25" s="35"/>
      <c r="H25" s="36"/>
      <c r="I25" s="34"/>
    </row>
    <row r="26" spans="1:10" ht="30" customHeight="1">
      <c r="A26" s="33"/>
      <c r="B26" s="34"/>
      <c r="C26" s="34"/>
      <c r="D26" s="34"/>
      <c r="E26" s="35"/>
      <c r="F26" s="35"/>
      <c r="G26" s="35"/>
      <c r="H26" s="36"/>
      <c r="I26" s="34"/>
    </row>
    <row r="27" spans="1:10" ht="30" customHeight="1">
      <c r="A27" s="33"/>
      <c r="B27" s="34"/>
      <c r="C27" s="34"/>
      <c r="D27" s="34"/>
      <c r="E27" s="35"/>
      <c r="F27" s="35"/>
      <c r="G27" s="35"/>
      <c r="H27" s="36"/>
      <c r="I27" s="34"/>
    </row>
    <row r="28" spans="1:10" ht="30" customHeight="1">
      <c r="A28" s="33"/>
      <c r="B28" s="34"/>
      <c r="C28" s="34"/>
      <c r="D28" s="34"/>
      <c r="E28" s="35"/>
      <c r="F28" s="35"/>
      <c r="G28" s="35"/>
      <c r="H28" s="36"/>
      <c r="I28" s="34"/>
    </row>
    <row r="29" spans="1:10" ht="30" customHeight="1">
      <c r="A29" s="33"/>
      <c r="B29" s="34"/>
      <c r="C29" s="34"/>
      <c r="D29" s="34"/>
      <c r="E29" s="35"/>
      <c r="F29" s="35"/>
      <c r="G29" s="35"/>
      <c r="H29" s="36"/>
      <c r="I29" s="34"/>
    </row>
    <row r="30" spans="1:10" ht="30" customHeight="1">
      <c r="A30" s="33"/>
      <c r="B30" s="34"/>
      <c r="C30" s="34"/>
      <c r="D30" s="34"/>
      <c r="E30" s="35"/>
      <c r="F30" s="35"/>
      <c r="G30" s="35"/>
      <c r="H30" s="36"/>
      <c r="I30" s="34"/>
    </row>
    <row r="31" spans="1:10" ht="18" customHeight="1">
      <c r="A31" s="39"/>
      <c r="B31" s="34"/>
      <c r="C31" s="34"/>
      <c r="D31" s="40"/>
      <c r="E31" s="35"/>
      <c r="F31" s="41"/>
      <c r="G31" s="41"/>
      <c r="H31" s="36"/>
      <c r="I31" s="40"/>
    </row>
    <row r="32" spans="1:10">
      <c r="A32" s="39"/>
      <c r="B32" s="34"/>
      <c r="C32" s="34"/>
      <c r="D32" s="34"/>
      <c r="E32" s="35"/>
      <c r="F32" s="35"/>
      <c r="G32" s="35"/>
      <c r="H32" s="36"/>
      <c r="I32" s="40"/>
    </row>
    <row r="33" spans="1:9">
      <c r="A33" s="39"/>
      <c r="B33" s="34"/>
      <c r="C33" s="34"/>
      <c r="D33" s="34"/>
      <c r="E33" s="35"/>
      <c r="F33" s="35"/>
      <c r="G33" s="35"/>
      <c r="H33" s="36"/>
      <c r="I33" s="40"/>
    </row>
    <row r="34" spans="1:9">
      <c r="A34" s="39"/>
      <c r="B34" s="34"/>
      <c r="C34" s="34"/>
      <c r="D34" s="34"/>
      <c r="E34" s="35"/>
      <c r="F34" s="35"/>
      <c r="G34" s="35"/>
      <c r="H34" s="36"/>
      <c r="I34" s="40"/>
    </row>
    <row r="35" spans="1:9">
      <c r="A35" s="39"/>
      <c r="B35" s="34"/>
      <c r="C35" s="34"/>
      <c r="D35" s="34"/>
      <c r="E35" s="35"/>
      <c r="F35" s="35"/>
      <c r="G35" s="35"/>
      <c r="H35" s="36"/>
      <c r="I35" s="40"/>
    </row>
    <row r="36" spans="1:9">
      <c r="A36" s="39"/>
      <c r="B36" s="34"/>
      <c r="C36" s="34"/>
      <c r="D36" s="34"/>
      <c r="E36" s="35"/>
      <c r="F36" s="35"/>
      <c r="G36" s="35"/>
      <c r="H36" s="36"/>
      <c r="I36" s="40"/>
    </row>
    <row r="37" spans="1:9">
      <c r="A37" s="39"/>
      <c r="B37" s="34"/>
      <c r="C37" s="34"/>
      <c r="D37" s="34"/>
      <c r="E37" s="35"/>
      <c r="F37" s="35"/>
      <c r="G37" s="35"/>
      <c r="H37" s="36"/>
      <c r="I37" s="40"/>
    </row>
    <row r="38" spans="1:9">
      <c r="A38" s="39"/>
      <c r="B38" s="34"/>
      <c r="C38" s="34"/>
      <c r="D38" s="34"/>
      <c r="E38" s="35"/>
      <c r="F38" s="35"/>
      <c r="G38" s="35"/>
      <c r="H38" s="36"/>
      <c r="I38" s="40"/>
    </row>
    <row r="39" spans="1:9">
      <c r="A39" s="39"/>
      <c r="B39" s="34"/>
      <c r="C39" s="34"/>
      <c r="D39" s="34"/>
      <c r="E39" s="35"/>
      <c r="F39" s="35"/>
      <c r="G39" s="35"/>
      <c r="H39" s="36"/>
      <c r="I39" s="40"/>
    </row>
    <row r="40" spans="1:9">
      <c r="A40" s="39"/>
      <c r="B40" s="34"/>
      <c r="C40" s="34"/>
      <c r="D40" s="34"/>
      <c r="E40" s="35"/>
      <c r="F40" s="35"/>
      <c r="G40" s="35"/>
      <c r="H40" s="36"/>
      <c r="I40" s="40"/>
    </row>
    <row r="41" spans="1:9">
      <c r="A41" s="39"/>
      <c r="B41" s="34"/>
      <c r="C41" s="34"/>
      <c r="D41" s="34"/>
      <c r="E41" s="35"/>
      <c r="F41" s="35"/>
      <c r="G41" s="35"/>
      <c r="H41" s="36"/>
      <c r="I41" s="40"/>
    </row>
    <row r="42" spans="1:9">
      <c r="A42" s="39"/>
      <c r="B42" s="34"/>
      <c r="C42" s="34"/>
      <c r="D42" s="34"/>
      <c r="E42" s="35"/>
      <c r="F42" s="35"/>
      <c r="G42" s="35"/>
      <c r="H42" s="36"/>
      <c r="I42" s="40"/>
    </row>
    <row r="43" spans="1:9">
      <c r="A43" s="39"/>
      <c r="B43" s="34"/>
      <c r="C43" s="34"/>
      <c r="D43" s="34"/>
      <c r="E43" s="35"/>
      <c r="F43" s="35"/>
      <c r="G43" s="35"/>
      <c r="H43" s="36"/>
      <c r="I43" s="40"/>
    </row>
    <row r="44" spans="1:9">
      <c r="A44" s="39"/>
      <c r="B44" s="34"/>
      <c r="C44" s="34"/>
      <c r="D44" s="40"/>
      <c r="E44" s="35"/>
      <c r="F44" s="41"/>
      <c r="G44" s="41"/>
      <c r="H44" s="36"/>
      <c r="I44" s="40"/>
    </row>
    <row r="45" spans="1:9">
      <c r="A45" s="39"/>
      <c r="B45" s="39"/>
      <c r="C45" s="40"/>
      <c r="D45" s="40"/>
      <c r="E45" s="41"/>
      <c r="F45" s="41"/>
      <c r="G45" s="41"/>
      <c r="H45" s="36"/>
      <c r="I45" s="40"/>
    </row>
    <row r="46" spans="1:9">
      <c r="A46" s="39"/>
      <c r="B46" s="39"/>
      <c r="C46" s="40"/>
      <c r="D46" s="40"/>
      <c r="E46" s="41"/>
      <c r="F46" s="41"/>
      <c r="G46" s="41"/>
      <c r="H46" s="36"/>
      <c r="I46" s="40"/>
    </row>
    <row r="47" spans="1:9">
      <c r="A47" s="39"/>
      <c r="B47" s="39"/>
      <c r="C47" s="40"/>
      <c r="D47" s="40"/>
      <c r="E47" s="41"/>
      <c r="F47" s="41"/>
      <c r="G47" s="41"/>
      <c r="H47" s="36"/>
      <c r="I47" s="40"/>
    </row>
    <row r="48" spans="1:9">
      <c r="A48" s="39"/>
      <c r="B48" s="39"/>
      <c r="C48" s="40"/>
      <c r="D48" s="40"/>
      <c r="E48" s="41"/>
      <c r="F48" s="41"/>
      <c r="G48" s="41"/>
      <c r="H48" s="36"/>
      <c r="I48" s="40"/>
    </row>
    <row r="49" spans="1:9">
      <c r="A49" s="39"/>
      <c r="B49" s="39"/>
      <c r="C49" s="40"/>
      <c r="D49" s="40"/>
      <c r="E49" s="41"/>
      <c r="F49" s="41"/>
      <c r="G49" s="41"/>
      <c r="H49" s="36"/>
      <c r="I49" s="40"/>
    </row>
    <row r="50" spans="1:9">
      <c r="A50" s="39"/>
      <c r="B50" s="39"/>
      <c r="C50" s="40"/>
      <c r="D50" s="40"/>
      <c r="E50" s="41"/>
      <c r="F50" s="41"/>
      <c r="G50" s="41"/>
      <c r="H50" s="36"/>
      <c r="I50" s="40"/>
    </row>
    <row r="51" spans="1:9">
      <c r="A51" s="39"/>
      <c r="B51" s="39"/>
      <c r="C51" s="40"/>
      <c r="D51" s="40"/>
      <c r="E51" s="41"/>
      <c r="F51" s="41"/>
      <c r="G51" s="41"/>
      <c r="H51" s="36"/>
      <c r="I51" s="40"/>
    </row>
    <row r="52" spans="1:9">
      <c r="A52" s="39"/>
      <c r="B52" s="39"/>
      <c r="C52" s="40"/>
      <c r="D52" s="40"/>
      <c r="E52" s="41"/>
      <c r="F52" s="41"/>
      <c r="G52" s="41"/>
      <c r="H52" s="36"/>
      <c r="I52" s="40"/>
    </row>
    <row r="53" spans="1:9">
      <c r="A53" s="39"/>
      <c r="B53" s="39"/>
      <c r="C53" s="40"/>
      <c r="D53" s="40"/>
      <c r="E53" s="41"/>
      <c r="F53" s="41"/>
      <c r="G53" s="41"/>
      <c r="H53" s="36"/>
      <c r="I53" s="40"/>
    </row>
    <row r="54" spans="1:9">
      <c r="A54" s="39"/>
      <c r="B54" s="39"/>
      <c r="C54" s="40"/>
      <c r="D54" s="40"/>
      <c r="E54" s="41"/>
      <c r="F54" s="41"/>
      <c r="G54" s="41"/>
      <c r="H54" s="36"/>
      <c r="I54" s="40"/>
    </row>
    <row r="55" spans="1:9">
      <c r="A55" s="39"/>
      <c r="B55" s="39"/>
      <c r="C55" s="40"/>
      <c r="D55" s="40"/>
      <c r="E55" s="41"/>
      <c r="F55" s="41"/>
      <c r="G55" s="41"/>
      <c r="H55" s="36"/>
      <c r="I55" s="40"/>
    </row>
    <row r="56" spans="1:9">
      <c r="A56" s="39"/>
      <c r="B56" s="39"/>
      <c r="C56" s="40"/>
      <c r="D56" s="40"/>
      <c r="E56" s="41"/>
      <c r="F56" s="41"/>
      <c r="G56" s="41"/>
      <c r="H56" s="36"/>
      <c r="I56" s="40"/>
    </row>
    <row r="57" spans="1:9">
      <c r="A57" s="39"/>
      <c r="B57" s="39"/>
      <c r="C57" s="40"/>
      <c r="D57" s="40"/>
      <c r="E57" s="41"/>
      <c r="F57" s="41"/>
      <c r="G57" s="41"/>
      <c r="H57" s="36"/>
      <c r="I57" s="40"/>
    </row>
    <row r="58" spans="1:9">
      <c r="A58" s="39"/>
      <c r="B58" s="39"/>
      <c r="C58" s="40"/>
      <c r="D58" s="40"/>
      <c r="E58" s="41"/>
      <c r="F58" s="41"/>
      <c r="G58" s="41"/>
      <c r="H58" s="36"/>
      <c r="I58" s="40"/>
    </row>
    <row r="59" spans="1:9">
      <c r="A59" s="39"/>
      <c r="B59" s="39"/>
      <c r="C59" s="40"/>
      <c r="D59" s="40"/>
      <c r="E59" s="41"/>
      <c r="F59" s="41"/>
      <c r="G59" s="41"/>
      <c r="H59" s="36"/>
      <c r="I59" s="40"/>
    </row>
    <row r="60" spans="1:9">
      <c r="A60" s="39"/>
      <c r="B60" s="39"/>
      <c r="C60" s="40"/>
      <c r="D60" s="40"/>
      <c r="E60" s="41"/>
      <c r="F60" s="41"/>
      <c r="G60" s="41"/>
      <c r="H60" s="36"/>
      <c r="I60" s="40"/>
    </row>
    <row r="61" spans="1:9">
      <c r="A61" s="39"/>
      <c r="B61" s="39"/>
      <c r="C61" s="40"/>
      <c r="D61" s="40"/>
      <c r="E61" s="41"/>
      <c r="F61" s="41"/>
      <c r="G61" s="41"/>
      <c r="H61" s="36"/>
      <c r="I61" s="40"/>
    </row>
    <row r="62" spans="1:9">
      <c r="A62" s="39"/>
      <c r="B62" s="39"/>
      <c r="C62" s="40"/>
      <c r="D62" s="40"/>
      <c r="E62" s="41"/>
      <c r="F62" s="41"/>
      <c r="G62" s="41"/>
      <c r="H62" s="36"/>
      <c r="I62" s="40"/>
    </row>
    <row r="63" spans="1:9">
      <c r="A63" s="39"/>
      <c r="B63" s="39"/>
      <c r="C63" s="40"/>
      <c r="D63" s="40"/>
      <c r="E63" s="41"/>
      <c r="F63" s="41"/>
      <c r="G63" s="41"/>
      <c r="H63" s="36"/>
      <c r="I63" s="40"/>
    </row>
    <row r="64" spans="1:9">
      <c r="A64" s="39"/>
      <c r="B64" s="39"/>
      <c r="C64" s="40"/>
      <c r="D64" s="40"/>
      <c r="E64" s="41"/>
      <c r="F64" s="41"/>
      <c r="G64" s="41"/>
      <c r="H64" s="36"/>
      <c r="I64" s="40"/>
    </row>
    <row r="65" spans="1:9">
      <c r="A65" s="39"/>
      <c r="B65" s="39"/>
      <c r="C65" s="40"/>
      <c r="D65" s="40"/>
      <c r="E65" s="41"/>
      <c r="F65" s="41"/>
      <c r="G65" s="41"/>
      <c r="H65" s="36"/>
      <c r="I65" s="40"/>
    </row>
    <row r="66" spans="1:9">
      <c r="A66" s="39"/>
      <c r="B66" s="39"/>
      <c r="C66" s="40"/>
      <c r="D66" s="40"/>
      <c r="E66" s="41"/>
      <c r="F66" s="41"/>
      <c r="G66" s="41"/>
      <c r="H66" s="36"/>
      <c r="I66" s="40"/>
    </row>
    <row r="67" spans="1:9">
      <c r="A67" s="39"/>
      <c r="B67" s="39"/>
      <c r="C67" s="40"/>
      <c r="D67" s="40"/>
      <c r="E67" s="41"/>
      <c r="F67" s="41"/>
      <c r="G67" s="41"/>
      <c r="H67" s="36"/>
      <c r="I67" s="40"/>
    </row>
    <row r="68" spans="1:9">
      <c r="A68" s="39"/>
      <c r="B68" s="39"/>
      <c r="C68" s="40"/>
      <c r="D68" s="40"/>
      <c r="E68" s="41"/>
      <c r="F68" s="41"/>
      <c r="G68" s="41"/>
      <c r="H68" s="36"/>
      <c r="I68" s="40"/>
    </row>
    <row r="69" spans="1:9">
      <c r="A69" s="39"/>
      <c r="B69" s="39"/>
      <c r="C69" s="40"/>
      <c r="D69" s="40"/>
      <c r="E69" s="41"/>
      <c r="F69" s="41"/>
      <c r="G69" s="41"/>
      <c r="H69" s="36"/>
      <c r="I69" s="40"/>
    </row>
    <row r="70" spans="1:9">
      <c r="A70" s="39"/>
      <c r="B70" s="39"/>
      <c r="C70" s="40"/>
      <c r="D70" s="40"/>
      <c r="E70" s="41"/>
      <c r="F70" s="41"/>
      <c r="G70" s="41"/>
      <c r="H70" s="36"/>
      <c r="I70" s="40"/>
    </row>
    <row r="71" spans="1:9">
      <c r="A71" s="39"/>
      <c r="B71" s="39"/>
      <c r="C71" s="40"/>
      <c r="D71" s="40"/>
      <c r="E71" s="41"/>
      <c r="F71" s="41"/>
      <c r="G71" s="41"/>
      <c r="H71" s="36"/>
      <c r="I71" s="40"/>
    </row>
    <row r="72" spans="1:9">
      <c r="A72" s="39"/>
      <c r="B72" s="39"/>
      <c r="C72" s="40"/>
      <c r="D72" s="40"/>
      <c r="E72" s="41"/>
      <c r="F72" s="41"/>
      <c r="G72" s="41"/>
      <c r="H72" s="36"/>
      <c r="I72" s="40"/>
    </row>
    <row r="73" spans="1:9">
      <c r="A73" s="39"/>
      <c r="B73" s="39"/>
      <c r="C73" s="40"/>
      <c r="D73" s="40"/>
      <c r="E73" s="41"/>
      <c r="F73" s="41"/>
      <c r="G73" s="41"/>
      <c r="H73" s="36"/>
      <c r="I73" s="40"/>
    </row>
    <row r="74" spans="1:9">
      <c r="A74" s="39"/>
      <c r="B74" s="39"/>
      <c r="C74" s="40"/>
      <c r="D74" s="40"/>
      <c r="E74" s="41"/>
      <c r="F74" s="41"/>
      <c r="G74" s="41"/>
      <c r="H74" s="36"/>
      <c r="I74" s="40"/>
    </row>
    <row r="75" spans="1:9">
      <c r="A75" s="39"/>
      <c r="B75" s="39"/>
      <c r="C75" s="40"/>
      <c r="D75" s="40"/>
      <c r="E75" s="41"/>
      <c r="F75" s="41"/>
      <c r="G75" s="41"/>
      <c r="H75" s="36"/>
      <c r="I75" s="40"/>
    </row>
  </sheetData>
  <mergeCells count="6">
    <mergeCell ref="A1:F1"/>
    <mergeCell ref="B9:B10"/>
    <mergeCell ref="B11:B14"/>
    <mergeCell ref="C9:C10"/>
    <mergeCell ref="C11:C14"/>
    <mergeCell ref="D11:D14"/>
  </mergeCells>
  <conditionalFormatting sqref="H11">
    <cfRule type="cellIs" dxfId="146" priority="3" stopIfTrue="1" operator="equal">
      <formula>"Pass"</formula>
    </cfRule>
    <cfRule type="cellIs" dxfId="145" priority="2" stopIfTrue="1" operator="equal">
      <formula>"Fail"</formula>
    </cfRule>
    <cfRule type="cellIs" dxfId="144" priority="1" stopIfTrue="1" operator="equal">
      <formula>"N/A"</formula>
    </cfRule>
  </conditionalFormatting>
  <conditionalFormatting sqref="H12">
    <cfRule type="cellIs" dxfId="143" priority="4" stopIfTrue="1" operator="equal">
      <formula>"N/A"</formula>
    </cfRule>
    <cfRule type="cellIs" dxfId="142" priority="5" stopIfTrue="1" operator="equal">
      <formula>"Fail"</formula>
    </cfRule>
    <cfRule type="cellIs" dxfId="141" priority="6" stopIfTrue="1" operator="equal">
      <formula>"Pass"</formula>
    </cfRule>
  </conditionalFormatting>
  <conditionalFormatting sqref="H31">
    <cfRule type="cellIs" dxfId="140" priority="135" stopIfTrue="1" operator="equal">
      <formula>"N/A"</formula>
    </cfRule>
    <cfRule type="cellIs" dxfId="139" priority="155" stopIfTrue="1" operator="equal">
      <formula>"Fail"</formula>
    </cfRule>
    <cfRule type="cellIs" dxfId="138" priority="175" stopIfTrue="1" operator="equal">
      <formula>"Pass"</formula>
    </cfRule>
  </conditionalFormatting>
  <conditionalFormatting sqref="H32">
    <cfRule type="cellIs" dxfId="137" priority="134" stopIfTrue="1" operator="equal">
      <formula>"N/A"</formula>
    </cfRule>
    <cfRule type="cellIs" dxfId="136" priority="154" stopIfTrue="1" operator="equal">
      <formula>"Fail"</formula>
    </cfRule>
    <cfRule type="cellIs" dxfId="135" priority="174" stopIfTrue="1" operator="equal">
      <formula>"Pass"</formula>
    </cfRule>
  </conditionalFormatting>
  <conditionalFormatting sqref="H33">
    <cfRule type="cellIs" dxfId="134" priority="133" stopIfTrue="1" operator="equal">
      <formula>"N/A"</formula>
    </cfRule>
    <cfRule type="cellIs" dxfId="133" priority="153" stopIfTrue="1" operator="equal">
      <formula>"Fail"</formula>
    </cfRule>
    <cfRule type="cellIs" dxfId="132" priority="173" stopIfTrue="1" operator="equal">
      <formula>"Pass"</formula>
    </cfRule>
  </conditionalFormatting>
  <conditionalFormatting sqref="H34">
    <cfRule type="cellIs" dxfId="131" priority="132" stopIfTrue="1" operator="equal">
      <formula>"N/A"</formula>
    </cfRule>
    <cfRule type="cellIs" dxfId="130" priority="152" stopIfTrue="1" operator="equal">
      <formula>"Fail"</formula>
    </cfRule>
    <cfRule type="cellIs" dxfId="129" priority="172" stopIfTrue="1" operator="equal">
      <formula>"Pass"</formula>
    </cfRule>
  </conditionalFormatting>
  <conditionalFormatting sqref="H35">
    <cfRule type="cellIs" dxfId="128" priority="131" stopIfTrue="1" operator="equal">
      <formula>"N/A"</formula>
    </cfRule>
    <cfRule type="cellIs" dxfId="127" priority="151" stopIfTrue="1" operator="equal">
      <formula>"Fail"</formula>
    </cfRule>
    <cfRule type="cellIs" dxfId="126" priority="171" stopIfTrue="1" operator="equal">
      <formula>"Pass"</formula>
    </cfRule>
  </conditionalFormatting>
  <conditionalFormatting sqref="H36">
    <cfRule type="cellIs" dxfId="125" priority="130" stopIfTrue="1" operator="equal">
      <formula>"N/A"</formula>
    </cfRule>
    <cfRule type="cellIs" dxfId="124" priority="150" stopIfTrue="1" operator="equal">
      <formula>"Fail"</formula>
    </cfRule>
    <cfRule type="cellIs" dxfId="123" priority="170" stopIfTrue="1" operator="equal">
      <formula>"Pass"</formula>
    </cfRule>
  </conditionalFormatting>
  <conditionalFormatting sqref="H37">
    <cfRule type="cellIs" dxfId="122" priority="129" stopIfTrue="1" operator="equal">
      <formula>"N/A"</formula>
    </cfRule>
    <cfRule type="cellIs" dxfId="121" priority="149" stopIfTrue="1" operator="equal">
      <formula>"Fail"</formula>
    </cfRule>
    <cfRule type="cellIs" dxfId="120" priority="169" stopIfTrue="1" operator="equal">
      <formula>"Pass"</formula>
    </cfRule>
  </conditionalFormatting>
  <conditionalFormatting sqref="H38">
    <cfRule type="cellIs" dxfId="119" priority="128" stopIfTrue="1" operator="equal">
      <formula>"N/A"</formula>
    </cfRule>
    <cfRule type="cellIs" dxfId="118" priority="148" stopIfTrue="1" operator="equal">
      <formula>"Fail"</formula>
    </cfRule>
    <cfRule type="cellIs" dxfId="117" priority="168" stopIfTrue="1" operator="equal">
      <formula>"Pass"</formula>
    </cfRule>
  </conditionalFormatting>
  <conditionalFormatting sqref="H39">
    <cfRule type="cellIs" dxfId="116" priority="127" stopIfTrue="1" operator="equal">
      <formula>"N/A"</formula>
    </cfRule>
    <cfRule type="cellIs" dxfId="115" priority="147" stopIfTrue="1" operator="equal">
      <formula>"Fail"</formula>
    </cfRule>
    <cfRule type="cellIs" dxfId="114" priority="167" stopIfTrue="1" operator="equal">
      <formula>"Pass"</formula>
    </cfRule>
  </conditionalFormatting>
  <conditionalFormatting sqref="H40">
    <cfRule type="cellIs" dxfId="113" priority="126" stopIfTrue="1" operator="equal">
      <formula>"N/A"</formula>
    </cfRule>
    <cfRule type="cellIs" dxfId="112" priority="146" stopIfTrue="1" operator="equal">
      <formula>"Fail"</formula>
    </cfRule>
    <cfRule type="cellIs" dxfId="111" priority="166" stopIfTrue="1" operator="equal">
      <formula>"Pass"</formula>
    </cfRule>
  </conditionalFormatting>
  <conditionalFormatting sqref="H41">
    <cfRule type="cellIs" dxfId="110" priority="125" stopIfTrue="1" operator="equal">
      <formula>"N/A"</formula>
    </cfRule>
    <cfRule type="cellIs" dxfId="109" priority="145" stopIfTrue="1" operator="equal">
      <formula>"Fail"</formula>
    </cfRule>
    <cfRule type="cellIs" dxfId="108" priority="165" stopIfTrue="1" operator="equal">
      <formula>"Pass"</formula>
    </cfRule>
  </conditionalFormatting>
  <conditionalFormatting sqref="H42">
    <cfRule type="cellIs" dxfId="107" priority="124" stopIfTrue="1" operator="equal">
      <formula>"N/A"</formula>
    </cfRule>
    <cfRule type="cellIs" dxfId="106" priority="144" stopIfTrue="1" operator="equal">
      <formula>"Fail"</formula>
    </cfRule>
    <cfRule type="cellIs" dxfId="105" priority="164" stopIfTrue="1" operator="equal">
      <formula>"Pass"</formula>
    </cfRule>
  </conditionalFormatting>
  <conditionalFormatting sqref="H43">
    <cfRule type="cellIs" dxfId="104" priority="57" stopIfTrue="1" operator="equal">
      <formula>"N/A"</formula>
    </cfRule>
    <cfRule type="cellIs" dxfId="103" priority="90" stopIfTrue="1" operator="equal">
      <formula>"Fail"</formula>
    </cfRule>
    <cfRule type="cellIs" dxfId="102" priority="123" stopIfTrue="1" operator="equal">
      <formula>"Pass"</formula>
    </cfRule>
  </conditionalFormatting>
  <conditionalFormatting sqref="H44">
    <cfRule type="cellIs" dxfId="101" priority="56" stopIfTrue="1" operator="equal">
      <formula>"N/A"</formula>
    </cfRule>
    <cfRule type="cellIs" dxfId="100" priority="89" stopIfTrue="1" operator="equal">
      <formula>"Fail"</formula>
    </cfRule>
    <cfRule type="cellIs" dxfId="99" priority="122" stopIfTrue="1" operator="equal">
      <formula>"Pass"</formula>
    </cfRule>
  </conditionalFormatting>
  <conditionalFormatting sqref="H45">
    <cfRule type="cellIs" dxfId="98" priority="55" stopIfTrue="1" operator="equal">
      <formula>"N/A"</formula>
    </cfRule>
    <cfRule type="cellIs" dxfId="97" priority="88" stopIfTrue="1" operator="equal">
      <formula>"Fail"</formula>
    </cfRule>
    <cfRule type="cellIs" dxfId="96" priority="121" stopIfTrue="1" operator="equal">
      <formula>"Pass"</formula>
    </cfRule>
  </conditionalFormatting>
  <conditionalFormatting sqref="H46">
    <cfRule type="cellIs" dxfId="95" priority="54" stopIfTrue="1" operator="equal">
      <formula>"N/A"</formula>
    </cfRule>
    <cfRule type="cellIs" dxfId="94" priority="87" stopIfTrue="1" operator="equal">
      <formula>"Fail"</formula>
    </cfRule>
    <cfRule type="cellIs" dxfId="93" priority="120" stopIfTrue="1" operator="equal">
      <formula>"Pass"</formula>
    </cfRule>
  </conditionalFormatting>
  <conditionalFormatting sqref="H47">
    <cfRule type="cellIs" dxfId="92" priority="53" stopIfTrue="1" operator="equal">
      <formula>"N/A"</formula>
    </cfRule>
    <cfRule type="cellIs" dxfId="91" priority="86" stopIfTrue="1" operator="equal">
      <formula>"Fail"</formula>
    </cfRule>
    <cfRule type="cellIs" dxfId="90" priority="119" stopIfTrue="1" operator="equal">
      <formula>"Pass"</formula>
    </cfRule>
  </conditionalFormatting>
  <conditionalFormatting sqref="H48">
    <cfRule type="cellIs" dxfId="89" priority="52" stopIfTrue="1" operator="equal">
      <formula>"N/A"</formula>
    </cfRule>
    <cfRule type="cellIs" dxfId="88" priority="85" stopIfTrue="1" operator="equal">
      <formula>"Fail"</formula>
    </cfRule>
    <cfRule type="cellIs" dxfId="87" priority="118" stopIfTrue="1" operator="equal">
      <formula>"Pass"</formula>
    </cfRule>
  </conditionalFormatting>
  <conditionalFormatting sqref="H49">
    <cfRule type="cellIs" dxfId="86" priority="51" stopIfTrue="1" operator="equal">
      <formula>"N/A"</formula>
    </cfRule>
    <cfRule type="cellIs" dxfId="85" priority="84" stopIfTrue="1" operator="equal">
      <formula>"Fail"</formula>
    </cfRule>
    <cfRule type="cellIs" dxfId="84" priority="117" stopIfTrue="1" operator="equal">
      <formula>"Pass"</formula>
    </cfRule>
  </conditionalFormatting>
  <conditionalFormatting sqref="H50">
    <cfRule type="cellIs" dxfId="83" priority="50" stopIfTrue="1" operator="equal">
      <formula>"N/A"</formula>
    </cfRule>
    <cfRule type="cellIs" dxfId="82" priority="83" stopIfTrue="1" operator="equal">
      <formula>"Fail"</formula>
    </cfRule>
    <cfRule type="cellIs" dxfId="81" priority="116" stopIfTrue="1" operator="equal">
      <formula>"Pass"</formula>
    </cfRule>
  </conditionalFormatting>
  <conditionalFormatting sqref="H51">
    <cfRule type="cellIs" dxfId="80" priority="49" stopIfTrue="1" operator="equal">
      <formula>"N/A"</formula>
    </cfRule>
    <cfRule type="cellIs" dxfId="79" priority="82" stopIfTrue="1" operator="equal">
      <formula>"Fail"</formula>
    </cfRule>
    <cfRule type="cellIs" dxfId="78" priority="115" stopIfTrue="1" operator="equal">
      <formula>"Pass"</formula>
    </cfRule>
  </conditionalFormatting>
  <conditionalFormatting sqref="H52">
    <cfRule type="cellIs" dxfId="77" priority="48" stopIfTrue="1" operator="equal">
      <formula>"N/A"</formula>
    </cfRule>
    <cfRule type="cellIs" dxfId="76" priority="81" stopIfTrue="1" operator="equal">
      <formula>"Fail"</formula>
    </cfRule>
    <cfRule type="cellIs" dxfId="75" priority="114" stopIfTrue="1" operator="equal">
      <formula>"Pass"</formula>
    </cfRule>
  </conditionalFormatting>
  <conditionalFormatting sqref="H53">
    <cfRule type="cellIs" dxfId="74" priority="47" stopIfTrue="1" operator="equal">
      <formula>"N/A"</formula>
    </cfRule>
    <cfRule type="cellIs" dxfId="73" priority="80" stopIfTrue="1" operator="equal">
      <formula>"Fail"</formula>
    </cfRule>
    <cfRule type="cellIs" dxfId="72" priority="113" stopIfTrue="1" operator="equal">
      <formula>"Pass"</formula>
    </cfRule>
  </conditionalFormatting>
  <conditionalFormatting sqref="H54">
    <cfRule type="cellIs" dxfId="71" priority="46" stopIfTrue="1" operator="equal">
      <formula>"N/A"</formula>
    </cfRule>
    <cfRule type="cellIs" dxfId="70" priority="79" stopIfTrue="1" operator="equal">
      <formula>"Fail"</formula>
    </cfRule>
    <cfRule type="cellIs" dxfId="69" priority="112" stopIfTrue="1" operator="equal">
      <formula>"Pass"</formula>
    </cfRule>
  </conditionalFormatting>
  <conditionalFormatting sqref="H55">
    <cfRule type="cellIs" dxfId="68" priority="45" stopIfTrue="1" operator="equal">
      <formula>"N/A"</formula>
    </cfRule>
    <cfRule type="cellIs" dxfId="67" priority="78" stopIfTrue="1" operator="equal">
      <formula>"Fail"</formula>
    </cfRule>
    <cfRule type="cellIs" dxfId="66" priority="111" stopIfTrue="1" operator="equal">
      <formula>"Pass"</formula>
    </cfRule>
  </conditionalFormatting>
  <conditionalFormatting sqref="H56">
    <cfRule type="cellIs" dxfId="65" priority="44" stopIfTrue="1" operator="equal">
      <formula>"N/A"</formula>
    </cfRule>
    <cfRule type="cellIs" dxfId="64" priority="77" stopIfTrue="1" operator="equal">
      <formula>"Fail"</formula>
    </cfRule>
    <cfRule type="cellIs" dxfId="63" priority="110" stopIfTrue="1" operator="equal">
      <formula>"Pass"</formula>
    </cfRule>
  </conditionalFormatting>
  <conditionalFormatting sqref="H57">
    <cfRule type="cellIs" dxfId="62" priority="43" stopIfTrue="1" operator="equal">
      <formula>"N/A"</formula>
    </cfRule>
    <cfRule type="cellIs" dxfId="61" priority="76" stopIfTrue="1" operator="equal">
      <formula>"Fail"</formula>
    </cfRule>
    <cfRule type="cellIs" dxfId="60" priority="109" stopIfTrue="1" operator="equal">
      <formula>"Pass"</formula>
    </cfRule>
  </conditionalFormatting>
  <conditionalFormatting sqref="H58">
    <cfRule type="cellIs" dxfId="59" priority="42" stopIfTrue="1" operator="equal">
      <formula>"N/A"</formula>
    </cfRule>
    <cfRule type="cellIs" dxfId="58" priority="75" stopIfTrue="1" operator="equal">
      <formula>"Fail"</formula>
    </cfRule>
    <cfRule type="cellIs" dxfId="57" priority="108" stopIfTrue="1" operator="equal">
      <formula>"Pass"</formula>
    </cfRule>
  </conditionalFormatting>
  <conditionalFormatting sqref="H59">
    <cfRule type="cellIs" dxfId="56" priority="41" stopIfTrue="1" operator="equal">
      <formula>"N/A"</formula>
    </cfRule>
    <cfRule type="cellIs" dxfId="55" priority="74" stopIfTrue="1" operator="equal">
      <formula>"Fail"</formula>
    </cfRule>
    <cfRule type="cellIs" dxfId="54" priority="107" stopIfTrue="1" operator="equal">
      <formula>"Pass"</formula>
    </cfRule>
  </conditionalFormatting>
  <conditionalFormatting sqref="H60">
    <cfRule type="cellIs" dxfId="53" priority="40" stopIfTrue="1" operator="equal">
      <formula>"N/A"</formula>
    </cfRule>
    <cfRule type="cellIs" dxfId="52" priority="73" stopIfTrue="1" operator="equal">
      <formula>"Fail"</formula>
    </cfRule>
    <cfRule type="cellIs" dxfId="51" priority="106" stopIfTrue="1" operator="equal">
      <formula>"Pass"</formula>
    </cfRule>
  </conditionalFormatting>
  <conditionalFormatting sqref="H61">
    <cfRule type="cellIs" dxfId="50" priority="39" stopIfTrue="1" operator="equal">
      <formula>"N/A"</formula>
    </cfRule>
    <cfRule type="cellIs" dxfId="49" priority="72" stopIfTrue="1" operator="equal">
      <formula>"Fail"</formula>
    </cfRule>
    <cfRule type="cellIs" dxfId="48" priority="105" stopIfTrue="1" operator="equal">
      <formula>"Pass"</formula>
    </cfRule>
  </conditionalFormatting>
  <conditionalFormatting sqref="H62">
    <cfRule type="cellIs" dxfId="47" priority="38" stopIfTrue="1" operator="equal">
      <formula>"N/A"</formula>
    </cfRule>
    <cfRule type="cellIs" dxfId="46" priority="71" stopIfTrue="1" operator="equal">
      <formula>"Fail"</formula>
    </cfRule>
    <cfRule type="cellIs" dxfId="45" priority="104" stopIfTrue="1" operator="equal">
      <formula>"Pass"</formula>
    </cfRule>
  </conditionalFormatting>
  <conditionalFormatting sqref="H63">
    <cfRule type="cellIs" dxfId="44" priority="37" stopIfTrue="1" operator="equal">
      <formula>"N/A"</formula>
    </cfRule>
    <cfRule type="cellIs" dxfId="43" priority="70" stopIfTrue="1" operator="equal">
      <formula>"Fail"</formula>
    </cfRule>
    <cfRule type="cellIs" dxfId="42" priority="103" stopIfTrue="1" operator="equal">
      <formula>"Pass"</formula>
    </cfRule>
  </conditionalFormatting>
  <conditionalFormatting sqref="H64">
    <cfRule type="cellIs" dxfId="41" priority="36" stopIfTrue="1" operator="equal">
      <formula>"N/A"</formula>
    </cfRule>
    <cfRule type="cellIs" dxfId="40" priority="69" stopIfTrue="1" operator="equal">
      <formula>"Fail"</formula>
    </cfRule>
    <cfRule type="cellIs" dxfId="39" priority="102" stopIfTrue="1" operator="equal">
      <formula>"Pass"</formula>
    </cfRule>
  </conditionalFormatting>
  <conditionalFormatting sqref="H65">
    <cfRule type="cellIs" dxfId="38" priority="35" stopIfTrue="1" operator="equal">
      <formula>"N/A"</formula>
    </cfRule>
    <cfRule type="cellIs" dxfId="37" priority="68" stopIfTrue="1" operator="equal">
      <formula>"Fail"</formula>
    </cfRule>
    <cfRule type="cellIs" dxfId="36" priority="101" stopIfTrue="1" operator="equal">
      <formula>"Pass"</formula>
    </cfRule>
  </conditionalFormatting>
  <conditionalFormatting sqref="H66">
    <cfRule type="cellIs" dxfId="35" priority="34" stopIfTrue="1" operator="equal">
      <formula>"N/A"</formula>
    </cfRule>
    <cfRule type="cellIs" dxfId="34" priority="67" stopIfTrue="1" operator="equal">
      <formula>"Fail"</formula>
    </cfRule>
    <cfRule type="cellIs" dxfId="33" priority="100" stopIfTrue="1" operator="equal">
      <formula>"Pass"</formula>
    </cfRule>
  </conditionalFormatting>
  <conditionalFormatting sqref="H67">
    <cfRule type="cellIs" dxfId="32" priority="33" stopIfTrue="1" operator="equal">
      <formula>"N/A"</formula>
    </cfRule>
    <cfRule type="cellIs" dxfId="31" priority="66" stopIfTrue="1" operator="equal">
      <formula>"Fail"</formula>
    </cfRule>
    <cfRule type="cellIs" dxfId="30" priority="99" stopIfTrue="1" operator="equal">
      <formula>"Pass"</formula>
    </cfRule>
  </conditionalFormatting>
  <conditionalFormatting sqref="H68">
    <cfRule type="cellIs" dxfId="29" priority="32" stopIfTrue="1" operator="equal">
      <formula>"N/A"</formula>
    </cfRule>
    <cfRule type="cellIs" dxfId="28" priority="65" stopIfTrue="1" operator="equal">
      <formula>"Fail"</formula>
    </cfRule>
    <cfRule type="cellIs" dxfId="27" priority="98" stopIfTrue="1" operator="equal">
      <formula>"Pass"</formula>
    </cfRule>
  </conditionalFormatting>
  <conditionalFormatting sqref="H69">
    <cfRule type="cellIs" dxfId="26" priority="31" stopIfTrue="1" operator="equal">
      <formula>"N/A"</formula>
    </cfRule>
    <cfRule type="cellIs" dxfId="25" priority="64" stopIfTrue="1" operator="equal">
      <formula>"Fail"</formula>
    </cfRule>
    <cfRule type="cellIs" dxfId="24" priority="97" stopIfTrue="1" operator="equal">
      <formula>"Pass"</formula>
    </cfRule>
  </conditionalFormatting>
  <conditionalFormatting sqref="H70">
    <cfRule type="cellIs" dxfId="23" priority="30" stopIfTrue="1" operator="equal">
      <formula>"N/A"</formula>
    </cfRule>
    <cfRule type="cellIs" dxfId="22" priority="63" stopIfTrue="1" operator="equal">
      <formula>"Fail"</formula>
    </cfRule>
    <cfRule type="cellIs" dxfId="21" priority="96" stopIfTrue="1" operator="equal">
      <formula>"Pass"</formula>
    </cfRule>
  </conditionalFormatting>
  <conditionalFormatting sqref="H71">
    <cfRule type="cellIs" dxfId="20" priority="29" stopIfTrue="1" operator="equal">
      <formula>"N/A"</formula>
    </cfRule>
    <cfRule type="cellIs" dxfId="19" priority="62" stopIfTrue="1" operator="equal">
      <formula>"Fail"</formula>
    </cfRule>
    <cfRule type="cellIs" dxfId="18" priority="95" stopIfTrue="1" operator="equal">
      <formula>"Pass"</formula>
    </cfRule>
  </conditionalFormatting>
  <conditionalFormatting sqref="H72">
    <cfRule type="cellIs" dxfId="17" priority="28" stopIfTrue="1" operator="equal">
      <formula>"N/A"</formula>
    </cfRule>
    <cfRule type="cellIs" dxfId="16" priority="61" stopIfTrue="1" operator="equal">
      <formula>"Fail"</formula>
    </cfRule>
    <cfRule type="cellIs" dxfId="15" priority="94" stopIfTrue="1" operator="equal">
      <formula>"Pass"</formula>
    </cfRule>
  </conditionalFormatting>
  <conditionalFormatting sqref="H73">
    <cfRule type="cellIs" dxfId="14" priority="27" stopIfTrue="1" operator="equal">
      <formula>"N/A"</formula>
    </cfRule>
    <cfRule type="cellIs" dxfId="13" priority="60" stopIfTrue="1" operator="equal">
      <formula>"Fail"</formula>
    </cfRule>
    <cfRule type="cellIs" dxfId="12" priority="93" stopIfTrue="1" operator="equal">
      <formula>"Pass"</formula>
    </cfRule>
  </conditionalFormatting>
  <conditionalFormatting sqref="H74">
    <cfRule type="cellIs" dxfId="11" priority="26" stopIfTrue="1" operator="equal">
      <formula>"N/A"</formula>
    </cfRule>
    <cfRule type="cellIs" dxfId="10" priority="59" stopIfTrue="1" operator="equal">
      <formula>"Fail"</formula>
    </cfRule>
    <cfRule type="cellIs" dxfId="9" priority="92" stopIfTrue="1" operator="equal">
      <formula>"Pass"</formula>
    </cfRule>
  </conditionalFormatting>
  <conditionalFormatting sqref="H75">
    <cfRule type="cellIs" dxfId="8" priority="25" stopIfTrue="1" operator="equal">
      <formula>"N/A"</formula>
    </cfRule>
    <cfRule type="cellIs" dxfId="7" priority="58" stopIfTrue="1" operator="equal">
      <formula>"Fail"</formula>
    </cfRule>
    <cfRule type="cellIs" dxfId="6" priority="91" stopIfTrue="1" operator="equal">
      <formula>"Pass"</formula>
    </cfRule>
  </conditionalFormatting>
  <conditionalFormatting sqref="H9:H10">
    <cfRule type="cellIs" dxfId="5" priority="7" stopIfTrue="1" operator="equal">
      <formula>"N/A"</formula>
    </cfRule>
    <cfRule type="cellIs" dxfId="4" priority="8" stopIfTrue="1" operator="equal">
      <formula>"Fail"</formula>
    </cfRule>
    <cfRule type="cellIs" dxfId="3" priority="9" stopIfTrue="1" operator="equal">
      <formula>"Pass"</formula>
    </cfRule>
  </conditionalFormatting>
  <conditionalFormatting sqref="H13:H19 H29 H27 H25 H23 H21">
    <cfRule type="cellIs" dxfId="2" priority="10" stopIfTrue="1" operator="equal">
      <formula>"N/A"</formula>
    </cfRule>
    <cfRule type="cellIs" dxfId="1" priority="11" stopIfTrue="1" operator="equal">
      <formula>"Fail"</formula>
    </cfRule>
    <cfRule type="cellIs" dxfId="0" priority="12" stopIfTrue="1" operator="equal">
      <formula>"Pass"</formula>
    </cfRule>
  </conditionalFormatting>
  <dataValidations count="1">
    <dataValidation type="list" allowBlank="1" showInputMessage="1" showErrorMessage="1" sqref="H11 H9:H10 H12:H75" xr:uid="{00000000-0002-0000-0000-000000000000}">
      <formula1>$G$2:$G$4</formula1>
    </dataValidation>
  </dataValidations>
  <pageMargins left="0.7" right="0.7" top="0.75" bottom="0.75" header="0.3" footer="0.3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489"/>
  <sheetViews>
    <sheetView workbookViewId="0">
      <selection activeCell="W18" sqref="W18"/>
    </sheetView>
  </sheetViews>
  <sheetFormatPr defaultColWidth="9" defaultRowHeight="16.899999999999999"/>
  <cols>
    <col min="1" max="1" width="15" customWidth="1"/>
  </cols>
  <sheetData>
    <row r="1" spans="1:9" ht="17.649999999999999">
      <c r="A1" s="3"/>
      <c r="B1" s="3"/>
      <c r="C1" s="4"/>
      <c r="D1" s="4"/>
      <c r="E1" s="4"/>
      <c r="F1" s="4"/>
      <c r="G1" s="4"/>
      <c r="H1" s="4"/>
      <c r="I1" s="3"/>
    </row>
    <row r="2" spans="1:9" ht="17.649999999999999">
      <c r="A2" s="5"/>
      <c r="B2" s="3"/>
      <c r="C2" s="4"/>
      <c r="D2" s="4"/>
      <c r="E2" s="4"/>
      <c r="F2" s="4"/>
      <c r="G2" s="4"/>
      <c r="H2" s="4"/>
      <c r="I2" s="3"/>
    </row>
    <row r="3" spans="1:9" ht="17.649999999999999">
      <c r="B3" s="3"/>
      <c r="C3" s="4"/>
      <c r="D3" s="4"/>
      <c r="E3" s="4"/>
      <c r="F3" s="4"/>
      <c r="G3" s="4"/>
      <c r="H3" s="4"/>
      <c r="I3" s="3"/>
    </row>
    <row r="41" spans="1:1" ht="17.649999999999999">
      <c r="A41" s="5"/>
    </row>
    <row r="70" spans="1:1" ht="17.649999999999999">
      <c r="A70" s="6"/>
    </row>
    <row r="81" spans="6:12">
      <c r="F81" s="49"/>
      <c r="G81" s="49"/>
      <c r="H81" s="49"/>
      <c r="I81" s="49"/>
      <c r="J81" s="49"/>
      <c r="K81" s="49"/>
    </row>
    <row r="82" spans="6:12">
      <c r="F82" s="49"/>
      <c r="G82" s="49"/>
      <c r="H82" s="49"/>
      <c r="I82" s="49"/>
      <c r="J82" s="49"/>
      <c r="K82" s="49"/>
    </row>
    <row r="83" spans="6:12">
      <c r="F83" s="49"/>
      <c r="G83" s="49"/>
      <c r="H83" s="49"/>
      <c r="I83" s="49"/>
      <c r="J83" s="49"/>
      <c r="K83" s="49"/>
    </row>
    <row r="91" spans="6:12">
      <c r="H91" s="49"/>
      <c r="I91" s="49"/>
      <c r="J91" s="49"/>
      <c r="K91" s="49"/>
      <c r="L91" s="49"/>
    </row>
    <row r="92" spans="6:12">
      <c r="H92" s="49"/>
      <c r="I92" s="49"/>
      <c r="J92" s="49"/>
      <c r="K92" s="49"/>
      <c r="L92" s="49"/>
    </row>
    <row r="93" spans="6:12">
      <c r="H93" s="49"/>
      <c r="I93" s="49"/>
      <c r="J93" s="49"/>
      <c r="K93" s="49"/>
      <c r="L93" s="49"/>
    </row>
    <row r="120" spans="1:12">
      <c r="H120" s="49"/>
      <c r="I120" s="49"/>
      <c r="J120" s="49"/>
      <c r="K120" s="49"/>
      <c r="L120" s="49"/>
    </row>
    <row r="121" spans="1:12">
      <c r="H121" s="49"/>
      <c r="I121" s="49"/>
      <c r="J121" s="49"/>
      <c r="K121" s="49"/>
      <c r="L121" s="49"/>
    </row>
    <row r="127" spans="1:12">
      <c r="A127" s="51"/>
      <c r="B127" s="52"/>
      <c r="C127" s="52"/>
      <c r="D127" s="52"/>
      <c r="E127" s="52"/>
      <c r="F127" s="52"/>
      <c r="G127" s="52"/>
    </row>
    <row r="128" spans="1:12">
      <c r="A128" s="52"/>
      <c r="B128" s="52"/>
      <c r="C128" s="52"/>
      <c r="D128" s="52"/>
      <c r="E128" s="52"/>
      <c r="F128" s="52"/>
      <c r="G128" s="52"/>
    </row>
    <row r="129" spans="1:7">
      <c r="A129" s="52"/>
      <c r="B129" s="52"/>
      <c r="C129" s="52"/>
      <c r="D129" s="52"/>
      <c r="E129" s="52"/>
      <c r="F129" s="52"/>
      <c r="G129" s="52"/>
    </row>
    <row r="130" spans="1:7">
      <c r="A130" s="52"/>
      <c r="B130" s="52"/>
      <c r="C130" s="52"/>
      <c r="D130" s="52"/>
      <c r="E130" s="52"/>
      <c r="F130" s="52"/>
      <c r="G130" s="52"/>
    </row>
    <row r="131" spans="1:7">
      <c r="A131" s="52"/>
      <c r="B131" s="52"/>
      <c r="C131" s="52"/>
      <c r="D131" s="52"/>
      <c r="E131" s="52"/>
      <c r="F131" s="52"/>
      <c r="G131" s="52"/>
    </row>
    <row r="132" spans="1:7">
      <c r="A132" s="52"/>
      <c r="B132" s="52"/>
      <c r="C132" s="52"/>
      <c r="D132" s="52"/>
      <c r="E132" s="52"/>
      <c r="F132" s="52"/>
    </row>
    <row r="133" spans="1:7">
      <c r="A133" s="52"/>
      <c r="B133" s="52"/>
      <c r="C133" s="52"/>
      <c r="D133" s="52"/>
      <c r="E133" s="52"/>
      <c r="F133" s="52"/>
    </row>
    <row r="134" spans="1:7">
      <c r="A134" s="52"/>
      <c r="B134" s="52"/>
      <c r="C134" s="52"/>
      <c r="D134" s="52"/>
      <c r="E134" s="52"/>
      <c r="F134" s="52"/>
    </row>
    <row r="156" spans="5:10">
      <c r="E156" s="50"/>
      <c r="F156" s="50"/>
      <c r="G156" s="50"/>
      <c r="H156" s="50"/>
      <c r="I156" s="50"/>
      <c r="J156" s="50"/>
    </row>
    <row r="157" spans="5:10">
      <c r="E157" s="50"/>
      <c r="F157" s="50"/>
      <c r="G157" s="50"/>
      <c r="H157" s="50"/>
      <c r="I157" s="50"/>
      <c r="J157" s="50"/>
    </row>
    <row r="158" spans="5:10">
      <c r="E158" s="50"/>
      <c r="F158" s="50"/>
      <c r="G158" s="50"/>
      <c r="H158" s="50"/>
      <c r="I158" s="50"/>
      <c r="J158" s="50"/>
    </row>
    <row r="162" spans="1:13">
      <c r="D162" s="2"/>
      <c r="E162" s="2"/>
      <c r="F162" s="2"/>
      <c r="G162" s="2"/>
      <c r="H162" s="2"/>
      <c r="I162" s="2"/>
      <c r="J162" s="2"/>
      <c r="K162" s="2"/>
      <c r="L162" s="2"/>
      <c r="M162" s="2"/>
    </row>
    <row r="163" spans="1:13" ht="17.649999999999999">
      <c r="D163" s="8"/>
      <c r="E163" s="8"/>
      <c r="F163" s="8"/>
      <c r="G163" s="8"/>
      <c r="H163" s="8"/>
      <c r="I163" s="8"/>
      <c r="J163" s="8"/>
      <c r="K163" s="8"/>
      <c r="L163" s="8"/>
      <c r="M163" s="8"/>
    </row>
    <row r="164" spans="1:13" ht="17.649999999999999">
      <c r="A164" s="52"/>
      <c r="B164" s="52"/>
      <c r="C164" s="52"/>
      <c r="D164" s="52"/>
      <c r="E164" s="52"/>
      <c r="F164" s="8"/>
      <c r="G164" s="8"/>
      <c r="H164" s="8"/>
      <c r="I164" s="8"/>
      <c r="J164" s="8"/>
      <c r="K164" s="8"/>
      <c r="L164" s="8"/>
      <c r="M164" s="8"/>
    </row>
    <row r="165" spans="1:13" ht="17.649999999999999">
      <c r="A165" s="52"/>
      <c r="B165" s="52"/>
      <c r="C165" s="52"/>
      <c r="D165" s="52"/>
      <c r="E165" s="52"/>
      <c r="F165" s="8"/>
      <c r="G165" s="8"/>
      <c r="H165" s="8"/>
      <c r="I165" s="8"/>
      <c r="J165" s="8"/>
      <c r="K165" s="8"/>
      <c r="L165" s="8"/>
      <c r="M165" s="8"/>
    </row>
    <row r="166" spans="1:13" ht="17.649999999999999">
      <c r="A166" s="52"/>
      <c r="B166" s="52"/>
      <c r="C166" s="52"/>
      <c r="D166" s="52"/>
      <c r="E166" s="52"/>
      <c r="F166" s="8"/>
      <c r="G166" s="8"/>
      <c r="H166" s="8"/>
      <c r="I166" s="8"/>
      <c r="J166" s="8"/>
      <c r="K166" s="8"/>
      <c r="L166" s="8"/>
      <c r="M166" s="8"/>
    </row>
    <row r="191" spans="3:6" ht="17.649999999999999">
      <c r="C191" s="7"/>
      <c r="D191" s="7"/>
      <c r="E191" s="7"/>
      <c r="F191" s="7"/>
    </row>
    <row r="192" spans="3:6" ht="17.649999999999999">
      <c r="C192" s="7"/>
      <c r="D192" s="7"/>
      <c r="E192" s="7"/>
      <c r="F192" s="7"/>
    </row>
    <row r="193" spans="1:8" ht="17.649999999999999">
      <c r="C193" s="7"/>
      <c r="D193" s="7"/>
      <c r="E193" s="7"/>
      <c r="F193" s="7"/>
    </row>
    <row r="194" spans="1:8" ht="17.649999999999999">
      <c r="C194" s="7"/>
      <c r="D194" s="7"/>
      <c r="E194" s="7"/>
      <c r="F194" s="7"/>
    </row>
    <row r="195" spans="1:8">
      <c r="A195" s="52"/>
      <c r="B195" s="52"/>
      <c r="C195" s="52"/>
      <c r="D195" s="52"/>
      <c r="E195" s="52"/>
      <c r="F195" s="52"/>
      <c r="G195" s="52"/>
      <c r="H195" s="52"/>
    </row>
    <row r="196" spans="1:8">
      <c r="A196" s="52"/>
      <c r="B196" s="52"/>
      <c r="C196" s="52"/>
      <c r="D196" s="52"/>
      <c r="E196" s="52"/>
      <c r="F196" s="52"/>
      <c r="G196" s="52"/>
      <c r="H196" s="52"/>
    </row>
    <row r="197" spans="1:8">
      <c r="A197" s="52"/>
      <c r="B197" s="52"/>
      <c r="C197" s="52"/>
      <c r="D197" s="52"/>
      <c r="E197" s="52"/>
      <c r="F197" s="52"/>
      <c r="G197" s="52"/>
      <c r="H197" s="52"/>
    </row>
    <row r="210" spans="7:12">
      <c r="G210" s="9"/>
      <c r="H210" s="9"/>
      <c r="I210" s="9"/>
      <c r="J210" s="9"/>
      <c r="K210" s="9"/>
      <c r="L210" s="9"/>
    </row>
    <row r="211" spans="7:12">
      <c r="G211" s="9"/>
      <c r="H211" s="9"/>
      <c r="I211" s="9"/>
      <c r="J211" s="9"/>
      <c r="K211" s="9"/>
      <c r="L211" s="9"/>
    </row>
    <row r="212" spans="7:12">
      <c r="G212" s="9"/>
      <c r="H212" s="9"/>
      <c r="I212" s="9"/>
      <c r="J212" s="9"/>
      <c r="K212" s="9"/>
      <c r="L212" s="9"/>
    </row>
    <row r="229" spans="1:7">
      <c r="B229" s="50"/>
      <c r="C229" s="50"/>
      <c r="D229" s="50"/>
      <c r="E229" s="50"/>
      <c r="F229" s="50"/>
      <c r="G229" s="50"/>
    </row>
    <row r="230" spans="1:7">
      <c r="B230" s="50"/>
      <c r="C230" s="50"/>
      <c r="D230" s="50"/>
      <c r="E230" s="50"/>
      <c r="F230" s="50"/>
      <c r="G230" s="50"/>
    </row>
    <row r="232" spans="1:7">
      <c r="A232" s="51"/>
      <c r="B232" s="52"/>
      <c r="C232" s="52"/>
      <c r="D232" s="52"/>
      <c r="E232" s="52"/>
      <c r="F232" s="52"/>
      <c r="G232" s="52"/>
    </row>
    <row r="233" spans="1:7">
      <c r="A233" s="52"/>
      <c r="B233" s="52"/>
      <c r="C233" s="52"/>
      <c r="D233" s="52"/>
      <c r="E233" s="52"/>
      <c r="F233" s="52"/>
      <c r="G233" s="52"/>
    </row>
    <row r="234" spans="1:7">
      <c r="A234" s="52"/>
      <c r="B234" s="52"/>
      <c r="C234" s="52"/>
      <c r="D234" s="52"/>
      <c r="E234" s="52"/>
      <c r="F234" s="52"/>
      <c r="G234" s="52"/>
    </row>
    <row r="235" spans="1:7">
      <c r="A235" s="52"/>
      <c r="B235" s="52"/>
      <c r="C235" s="52"/>
      <c r="D235" s="52"/>
      <c r="E235" s="52"/>
      <c r="F235" s="52"/>
      <c r="G235" s="52"/>
    </row>
    <row r="250" spans="4:11">
      <c r="D250" s="3"/>
      <c r="E250" s="3"/>
      <c r="F250" s="3"/>
      <c r="G250" s="3"/>
      <c r="H250" s="3"/>
      <c r="I250" s="3"/>
      <c r="J250" s="3"/>
      <c r="K250" s="3"/>
    </row>
    <row r="251" spans="4:11" ht="17.649999999999999">
      <c r="D251" s="4"/>
      <c r="E251" s="4"/>
      <c r="F251" s="4"/>
      <c r="G251" s="4"/>
      <c r="H251" s="4"/>
      <c r="I251" s="4"/>
      <c r="J251" s="3"/>
      <c r="K251" s="3"/>
    </row>
    <row r="252" spans="4:11" ht="17.649999999999999">
      <c r="D252" s="4"/>
      <c r="E252" s="4"/>
      <c r="F252" s="4"/>
      <c r="G252" s="4"/>
      <c r="H252" s="4"/>
      <c r="I252" s="4"/>
      <c r="J252" s="3"/>
      <c r="K252" s="3"/>
    </row>
    <row r="253" spans="4:11">
      <c r="D253" s="3"/>
      <c r="E253" s="3"/>
      <c r="F253" s="9"/>
      <c r="G253" s="9"/>
      <c r="H253" s="9"/>
      <c r="I253" s="9"/>
      <c r="J253" s="9"/>
      <c r="K253" s="9"/>
    </row>
    <row r="254" spans="4:11">
      <c r="D254" s="3"/>
      <c r="E254" s="3"/>
      <c r="F254" s="9"/>
      <c r="G254" s="9"/>
      <c r="H254" s="9"/>
      <c r="I254" s="9"/>
      <c r="J254" s="9"/>
      <c r="K254" s="9"/>
    </row>
    <row r="255" spans="4:11">
      <c r="D255" s="3"/>
      <c r="E255" s="3"/>
      <c r="F255" s="9"/>
      <c r="G255" s="9"/>
      <c r="H255" s="9"/>
      <c r="I255" s="9"/>
      <c r="J255" s="9"/>
      <c r="K255" s="9"/>
    </row>
    <row r="256" spans="4:11">
      <c r="D256" s="3"/>
      <c r="E256" s="3"/>
      <c r="F256" s="3"/>
      <c r="G256" s="3"/>
      <c r="H256" s="3"/>
      <c r="I256" s="3"/>
      <c r="J256" s="3"/>
      <c r="K256" s="3"/>
    </row>
    <row r="267" spans="2:11">
      <c r="F267" s="49"/>
      <c r="G267" s="49"/>
      <c r="H267" s="49"/>
      <c r="I267" s="49"/>
      <c r="J267" s="49"/>
      <c r="K267" s="49"/>
    </row>
    <row r="268" spans="2:11">
      <c r="F268" s="49"/>
      <c r="G268" s="49"/>
      <c r="H268" s="49"/>
      <c r="I268" s="49"/>
      <c r="J268" s="49"/>
      <c r="K268" s="49"/>
    </row>
    <row r="269" spans="2:11">
      <c r="F269" s="49"/>
      <c r="G269" s="49"/>
      <c r="H269" s="49"/>
      <c r="I269" s="49"/>
      <c r="J269" s="49"/>
      <c r="K269" s="49"/>
    </row>
    <row r="270" spans="2:11">
      <c r="F270" s="49"/>
      <c r="G270" s="49"/>
      <c r="H270" s="49"/>
      <c r="I270" s="49"/>
      <c r="J270" s="49"/>
      <c r="K270" s="49"/>
    </row>
    <row r="272" spans="2:11">
      <c r="B272" s="52"/>
      <c r="C272" s="52"/>
      <c r="D272" s="52"/>
      <c r="E272" s="52"/>
      <c r="F272" s="52"/>
      <c r="G272" s="52"/>
    </row>
    <row r="273" spans="2:7">
      <c r="B273" s="52"/>
      <c r="C273" s="52"/>
      <c r="D273" s="52"/>
      <c r="E273" s="52"/>
      <c r="F273" s="52"/>
      <c r="G273" s="52"/>
    </row>
    <row r="274" spans="2:7">
      <c r="B274" s="52"/>
      <c r="C274" s="52"/>
      <c r="D274" s="52"/>
      <c r="E274" s="52"/>
      <c r="F274" s="52"/>
      <c r="G274" s="52"/>
    </row>
    <row r="275" spans="2:7">
      <c r="B275" s="52"/>
      <c r="C275" s="52"/>
      <c r="D275" s="52"/>
      <c r="E275" s="52"/>
      <c r="F275" s="52"/>
      <c r="G275" s="52"/>
    </row>
    <row r="304" spans="2:7">
      <c r="B304" s="52"/>
      <c r="C304" s="52"/>
      <c r="D304" s="52"/>
      <c r="E304" s="52"/>
      <c r="F304" s="52"/>
      <c r="G304" s="52"/>
    </row>
    <row r="305" spans="2:12">
      <c r="B305" s="52"/>
      <c r="C305" s="52"/>
      <c r="D305" s="52"/>
      <c r="E305" s="52"/>
      <c r="F305" s="52"/>
      <c r="G305" s="52"/>
    </row>
    <row r="306" spans="2:12">
      <c r="B306" s="52"/>
      <c r="C306" s="52"/>
      <c r="D306" s="52"/>
      <c r="E306" s="52"/>
      <c r="F306" s="52"/>
      <c r="G306" s="52"/>
    </row>
    <row r="311" spans="2:12">
      <c r="H311" s="49"/>
      <c r="I311" s="49"/>
      <c r="J311" s="49"/>
      <c r="K311" s="49"/>
      <c r="L311" s="49"/>
    </row>
    <row r="312" spans="2:12">
      <c r="H312" s="49"/>
      <c r="I312" s="49"/>
      <c r="J312" s="49"/>
      <c r="K312" s="49"/>
      <c r="L312" s="49"/>
    </row>
    <row r="313" spans="2:12">
      <c r="H313" s="49"/>
      <c r="I313" s="49"/>
      <c r="J313" s="49"/>
      <c r="K313" s="49"/>
      <c r="L313" s="49"/>
    </row>
    <row r="314" spans="2:12">
      <c r="H314" s="49"/>
      <c r="I314" s="49"/>
      <c r="J314" s="49"/>
      <c r="K314" s="49"/>
      <c r="L314" s="49"/>
    </row>
    <row r="349" spans="4:11">
      <c r="D349" s="50"/>
      <c r="E349" s="50"/>
      <c r="F349" s="50"/>
      <c r="G349" s="50"/>
      <c r="H349" s="50"/>
      <c r="I349" s="50"/>
      <c r="J349" s="50"/>
      <c r="K349" s="50"/>
    </row>
    <row r="350" spans="4:11">
      <c r="D350" s="50"/>
      <c r="E350" s="50"/>
      <c r="F350" s="50"/>
      <c r="G350" s="50"/>
      <c r="H350" s="50"/>
      <c r="I350" s="50"/>
      <c r="J350" s="50"/>
      <c r="K350" s="50"/>
    </row>
    <row r="351" spans="4:11">
      <c r="D351" s="50"/>
      <c r="E351" s="50"/>
      <c r="F351" s="50"/>
      <c r="G351" s="50"/>
      <c r="H351" s="50"/>
      <c r="I351" s="50"/>
      <c r="J351" s="50"/>
      <c r="K351" s="50"/>
    </row>
    <row r="353" spans="8:11">
      <c r="H353" s="49"/>
      <c r="I353" s="49"/>
      <c r="J353" s="49"/>
      <c r="K353" s="49"/>
    </row>
    <row r="354" spans="8:11">
      <c r="H354" s="49"/>
      <c r="I354" s="49"/>
      <c r="J354" s="49"/>
      <c r="K354" s="49"/>
    </row>
    <row r="388" spans="3:10">
      <c r="C388" s="50"/>
      <c r="D388" s="50"/>
      <c r="E388" s="50"/>
      <c r="F388" s="50"/>
      <c r="G388" s="50"/>
      <c r="H388" s="50"/>
      <c r="I388" s="50"/>
      <c r="J388" s="50"/>
    </row>
    <row r="389" spans="3:10">
      <c r="C389" s="50"/>
      <c r="D389" s="50"/>
      <c r="E389" s="50"/>
      <c r="F389" s="50"/>
      <c r="G389" s="50"/>
      <c r="H389" s="50"/>
      <c r="I389" s="50"/>
      <c r="J389" s="50"/>
    </row>
    <row r="390" spans="3:10">
      <c r="C390" s="50"/>
      <c r="D390" s="50"/>
      <c r="E390" s="50"/>
      <c r="F390" s="50"/>
      <c r="G390" s="50"/>
      <c r="H390" s="50"/>
      <c r="I390" s="50"/>
      <c r="J390" s="50"/>
    </row>
    <row r="487" spans="8:11">
      <c r="H487" s="50" t="s">
        <v>43</v>
      </c>
      <c r="I487" s="50"/>
      <c r="J487" s="50"/>
      <c r="K487" s="50"/>
    </row>
    <row r="488" spans="8:11">
      <c r="H488" s="50"/>
      <c r="I488" s="50"/>
      <c r="J488" s="50"/>
      <c r="K488" s="50"/>
    </row>
    <row r="489" spans="8:11">
      <c r="H489" s="50"/>
      <c r="I489" s="50"/>
      <c r="J489" s="50"/>
      <c r="K489" s="50"/>
    </row>
  </sheetData>
  <mergeCells count="18">
    <mergeCell ref="F81:K83"/>
    <mergeCell ref="H120:L121"/>
    <mergeCell ref="A127:G131"/>
    <mergeCell ref="A132:F134"/>
    <mergeCell ref="A164:E166"/>
    <mergeCell ref="H91:L93"/>
    <mergeCell ref="H353:K354"/>
    <mergeCell ref="H487:K489"/>
    <mergeCell ref="B229:G230"/>
    <mergeCell ref="C388:J390"/>
    <mergeCell ref="E156:J158"/>
    <mergeCell ref="D349:K351"/>
    <mergeCell ref="A195:H197"/>
    <mergeCell ref="A232:G235"/>
    <mergeCell ref="B272:G275"/>
    <mergeCell ref="B304:G306"/>
    <mergeCell ref="F267:K270"/>
    <mergeCell ref="H311:L314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4"/>
  <sheetViews>
    <sheetView workbookViewId="0">
      <selection activeCell="A38" sqref="A38"/>
    </sheetView>
  </sheetViews>
  <sheetFormatPr defaultColWidth="9" defaultRowHeight="16.899999999999999"/>
  <cols>
    <col min="1" max="1" width="61.875" customWidth="1"/>
    <col min="3" max="3" width="9.25" customWidth="1"/>
  </cols>
  <sheetData>
    <row r="1" spans="1:14">
      <c r="A1" s="1" t="s">
        <v>44</v>
      </c>
      <c r="C1" s="51"/>
      <c r="D1" s="51"/>
      <c r="E1" s="51"/>
      <c r="F1" s="51"/>
      <c r="G1" s="51"/>
      <c r="H1" s="51"/>
      <c r="I1" s="51"/>
      <c r="J1" s="51"/>
      <c r="K1" s="51"/>
      <c r="L1" s="2"/>
      <c r="M1" s="2"/>
      <c r="N1" s="2"/>
    </row>
    <row r="2" spans="1:14">
      <c r="A2" s="53"/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</row>
    <row r="4" spans="1:14">
      <c r="A4" s="54"/>
      <c r="B4" s="52"/>
      <c r="C4" s="52"/>
      <c r="D4" s="52"/>
      <c r="E4" s="52"/>
      <c r="F4" s="52"/>
      <c r="G4" s="52"/>
      <c r="H4" s="52"/>
      <c r="I4" s="52"/>
      <c r="J4" s="52"/>
      <c r="K4" s="52"/>
      <c r="L4" s="52"/>
      <c r="M4" s="52"/>
    </row>
  </sheetData>
  <mergeCells count="3">
    <mergeCell ref="C1:K1"/>
    <mergeCell ref="A2:N2"/>
    <mergeCell ref="A4:M4"/>
  </mergeCells>
  <hyperlinks>
    <hyperlink ref="A1" r:id="rId1" tooltip="https://cd.baa360.cc:20088/index.php?m=task&amp;f=view&amp;taskID=42788" xr:uid="{00000000-0004-0000-0200-000000000000}"/>
  </hyperlink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comments xmlns:s="http://schemas.openxmlformats.org/spreadsheetml/2006/main" xmlns="https://web.wps.cn/et/2018/main">
  <commentList sheetStid="3">
    <comment s:ref="B5" rgbClr="EFC954"/>
    <comment s:ref="D16" rgbClr="EFC954"/>
  </commentList>
</comments>
</file>

<file path=customXml/itemProps1.xml><?xml version="1.0" encoding="utf-8"?>
<ds:datastoreItem xmlns:ds="http://schemas.openxmlformats.org/officeDocument/2006/customXml" ds:itemID="{06A0048C-2381-489B-AA07-9611017176E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IGG</dc:creator>
  <cp:keywords/>
  <dc:description/>
  <cp:lastModifiedBy>来宾用户</cp:lastModifiedBy>
  <cp:revision/>
  <dcterms:created xsi:type="dcterms:W3CDTF">2022-02-15T09:35:00Z</dcterms:created>
  <dcterms:modified xsi:type="dcterms:W3CDTF">2026-02-28T10:31:21Z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6F315210BDF6443A8166CB51FAFDA0A3_13</vt:lpwstr>
  </property>
  <property fmtid="{D5CDD505-2E9C-101B-9397-08002B2CF9AE}" pid="3" name="KSOProductBuildVer">
    <vt:lpwstr>2052-12.1.24663.24663</vt:lpwstr>
  </property>
  <property fmtid="{D5CDD505-2E9C-101B-9397-08002B2CF9AE}" pid="4" name="CalculationRule">
    <vt:i4>0</vt:i4>
  </property>
</Properties>
</file>