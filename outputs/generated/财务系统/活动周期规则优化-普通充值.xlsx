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首充7日签到弹窗优化" sheetId="1" r:id="rId1"/>
    <sheet name="功能位置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/>
  </authors>
  <commentList>
    <comment ref="A9" authorId="0">
      <text>
        <r>
          <rPr>
            <sz val="10"/>
            <rFont val="宋体"/>
            <charset val="134"/>
          </rPr>
          <t>请勿修改表头顺序，ID必填</t>
        </r>
      </text>
    </comment>
    <comment ref="C9" authorId="0">
      <text>
        <r>
          <rPr>
            <sz val="10"/>
            <rFont val="宋体"/>
            <charset val="134"/>
          </rPr>
          <t>若无该模块将自动创建</t>
        </r>
      </text>
    </comment>
    <comment ref="E9" authorId="0">
      <text>
        <r>
          <rPr>
            <sz val="10"/>
            <rFont val="宋体"/>
            <charset val="134"/>
          </rPr>
          <t>(非必填) 编辑模式为STEP时,步骤描述会根据标识[1] [2] [3]...来判断是否将单元格拆分为多个步骤,没有则为一个步骤</t>
        </r>
      </text>
    </comment>
    <comment ref="F9" authorId="0">
      <text>
        <r>
          <rPr>
            <sz val="10"/>
            <rFont val="宋体"/>
            <charset val="134"/>
          </rPr>
          <t>(非必填) 编辑模式为STEP时,预期结果会根据标识[1] [2] [3]...来判断是否将单元格拆分为多个步骤,没有则为一个步骤</t>
        </r>
      </text>
    </comment>
  </commentList>
</comments>
</file>

<file path=xl/sharedStrings.xml><?xml version="1.0" encoding="utf-8"?>
<sst xmlns="http://schemas.openxmlformats.org/spreadsheetml/2006/main" count="91" uniqueCount="70">
  <si>
    <t>活动周期规则优化-测试用例</t>
  </si>
  <si>
    <t>测试总数量</t>
  </si>
  <si>
    <t>测试平台</t>
  </si>
  <si>
    <t>账服</t>
  </si>
  <si>
    <t>测试日期</t>
  </si>
  <si>
    <t>Pass</t>
  </si>
  <si>
    <t>系统&amp;版本</t>
  </si>
  <si>
    <t>最后更新</t>
  </si>
  <si>
    <t>Fail</t>
  </si>
  <si>
    <t>文档编写人</t>
  </si>
  <si>
    <t>文档测试人</t>
  </si>
  <si>
    <t>N/A</t>
  </si>
  <si>
    <t>策划负责人</t>
  </si>
  <si>
    <t>审阅人员</t>
  </si>
  <si>
    <t>参考档</t>
  </si>
  <si>
    <t>ID</t>
  </si>
  <si>
    <t>用例名称</t>
  </si>
  <si>
    <t>所属模块</t>
  </si>
  <si>
    <t>前置条件</t>
  </si>
  <si>
    <t>步骤描述</t>
  </si>
  <si>
    <t>预期结果</t>
  </si>
  <si>
    <t>执行结果</t>
  </si>
  <si>
    <t>图片</t>
  </si>
  <si>
    <t>备注</t>
  </si>
  <si>
    <t>按钮显示验证</t>
  </si>
  <si>
    <t>运营活动/充值优惠/普通充值赠送</t>
  </si>
  <si>
    <t>进入充值优惠，查看普通充值赠送</t>
  </si>
  <si>
    <t>操作下显示周期预配置</t>
  </si>
  <si>
    <t>新增验证</t>
  </si>
  <si>
    <t>已进入周期预配置页面</t>
  </si>
  <si>
    <t>点击新增</t>
  </si>
  <si>
    <t>弹出配置生效时间窗口</t>
  </si>
  <si>
    <t>配置生效时间、备注均未输入，保存</t>
  </si>
  <si>
    <t>提示：生效时间不能为空</t>
  </si>
  <si>
    <t>仅输入配置生效时间但生效时间小于当前时间，保存</t>
  </si>
  <si>
    <t>提示：时间不能小于当前时间</t>
  </si>
  <si>
    <t>仅输入配置生效时间且生效时间大于等于当前时间，保存</t>
  </si>
  <si>
    <t>保存成功，且跳转到周期预配置页面</t>
  </si>
  <si>
    <t>仅输入备注，保存</t>
  </si>
  <si>
    <t>同时输入配置生效时间、备注，且备注小于等于20个字，保存</t>
  </si>
  <si>
    <t>同时输入配置生效时间、备注，但备注大于20个字，保存</t>
  </si>
  <si>
    <t>提示：备注不能超过20个字</t>
  </si>
  <si>
    <t>配置验证</t>
  </si>
  <si>
    <t>点击配置</t>
  </si>
  <si>
    <t>1、跳转到周期预配置页面
2、右上角显示预配置期号、备注，备注展示10个字，超过使用…</t>
  </si>
  <si>
    <t>编辑普通充值赠送配置，保存</t>
  </si>
  <si>
    <t>保存成功</t>
  </si>
  <si>
    <t>修改生效时间验证</t>
  </si>
  <si>
    <t>选择待执行状态的配置，修改生效时间</t>
  </si>
  <si>
    <t>1、保存成功
2、到了生效时间查看，状态变为已执行，查看现有配置显示正确</t>
  </si>
  <si>
    <t>选择已执行状态的配置，查看</t>
  </si>
  <si>
    <t>不显示修改生效时间按钮</t>
  </si>
  <si>
    <t>复制验证</t>
  </si>
  <si>
    <t>选择任一配置，点击复制</t>
  </si>
  <si>
    <t>复制成功</t>
  </si>
  <si>
    <t>删除验证</t>
  </si>
  <si>
    <t>选择任一配置，点击删除</t>
  </si>
  <si>
    <t>删除成功</t>
  </si>
  <si>
    <t>列表验证</t>
  </si>
  <si>
    <t>进入周期预配置列表，查看</t>
  </si>
  <si>
    <t>自动生成一条已经在运营中的配置，作为默认生成第一条（状态为：初始化生成）</t>
  </si>
  <si>
    <t>选择配置生效时间/状态，查询</t>
  </si>
  <si>
    <t>获取正确的查询结果</t>
  </si>
  <si>
    <t>选择配置生效时间/状态后，点击重置</t>
  </si>
  <si>
    <t>重置成功</t>
  </si>
  <si>
    <t>大厅显示验证</t>
  </si>
  <si>
    <t>充值</t>
  </si>
  <si>
    <t>普通充值赠送已开启</t>
  </si>
  <si>
    <t>选择充值金额大于等于配置的金额，查看</t>
  </si>
  <si>
    <t>赠送金币显示正确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</si>
</sst>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1"/>
      <color indexed="8"/>
      <name val="宋体"/>
      <charset val="134"/>
      <scheme val="minor"/>
    </font>
    <font>
      <b/>
      <sz val="12"/>
      <color theme="0"/>
      <name val="細明體"/>
      <charset val="136"/>
    </font>
    <font>
      <b/>
      <sz val="12"/>
      <color theme="1"/>
      <name val="微軟正黑體"/>
      <charset val="136"/>
    </font>
    <font>
      <b/>
      <sz val="12"/>
      <color rgb="FFFFFFFF"/>
      <name val="細明體"/>
      <charset val="136"/>
    </font>
    <font>
      <b/>
      <sz val="12"/>
      <color rgb="FF0000FF"/>
      <name val="微軟正黑體"/>
      <charset val="136"/>
    </font>
    <font>
      <b/>
      <sz val="10"/>
      <color theme="1"/>
      <name val="微軟正黑體"/>
      <charset val="136"/>
    </font>
    <font>
      <b/>
      <sz val="11"/>
      <color theme="1"/>
      <name val="微軟正黑體"/>
      <charset val="136"/>
    </font>
    <font>
      <b/>
      <sz val="12"/>
      <color rgb="FFFF0000"/>
      <name val="微軟正黑體"/>
      <charset val="136"/>
    </font>
    <font>
      <b/>
      <sz val="12"/>
      <color rgb="FF7030A0"/>
      <name val="微軟正黑體"/>
      <charset val="136"/>
    </font>
    <font>
      <sz val="11"/>
      <color theme="1"/>
      <name val="宋体"/>
      <charset val="134"/>
      <scheme val="minor"/>
    </font>
    <font>
      <sz val="12"/>
      <color theme="1"/>
      <name val="宋体"/>
      <charset val="136"/>
      <scheme val="minor"/>
    </font>
    <font>
      <b/>
      <sz val="14"/>
      <name val="宋体"/>
      <charset val="134"/>
    </font>
    <font>
      <sz val="12"/>
      <color rgb="FF0000FF"/>
      <name val="微軟正黑體"/>
      <charset val="136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宋体"/>
      <charset val="134"/>
    </font>
  </fonts>
  <fills count="38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76933C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9" fillId="7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8" borderId="11" applyNumberFormat="0" applyAlignment="0" applyProtection="0">
      <alignment vertical="center"/>
    </xf>
    <xf numFmtId="0" fontId="22" fillId="9" borderId="12" applyNumberFormat="0" applyAlignment="0" applyProtection="0">
      <alignment vertical="center"/>
    </xf>
    <xf numFmtId="0" fontId="23" fillId="9" borderId="11" applyNumberFormat="0" applyAlignment="0" applyProtection="0">
      <alignment vertical="center"/>
    </xf>
    <xf numFmtId="0" fontId="24" fillId="10" borderId="13" applyNumberFormat="0" applyAlignment="0" applyProtection="0">
      <alignment vertical="center"/>
    </xf>
    <xf numFmtId="0" fontId="25" fillId="0" borderId="14" applyNumberFormat="0" applyFill="0" applyAlignment="0" applyProtection="0">
      <alignment vertical="center"/>
    </xf>
    <xf numFmtId="0" fontId="26" fillId="0" borderId="15" applyNumberFormat="0" applyFill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10" fillId="0" borderId="0">
      <alignment vertical="center"/>
    </xf>
  </cellStyleXfs>
  <cellXfs count="30">
    <xf numFmtId="0" fontId="0" fillId="0" borderId="0" xfId="0" applyFont="1">
      <alignment vertical="center"/>
    </xf>
    <xf numFmtId="0" fontId="1" fillId="2" borderId="1" xfId="49" applyFont="1" applyFill="1" applyBorder="1" applyAlignment="1">
      <alignment horizontal="center" vertical="center"/>
    </xf>
    <xf numFmtId="0" fontId="1" fillId="2" borderId="0" xfId="49" applyFont="1" applyFill="1" applyAlignment="1">
      <alignment horizontal="center" vertical="center"/>
    </xf>
    <xf numFmtId="0" fontId="1" fillId="3" borderId="2" xfId="49" applyFont="1" applyFill="1" applyBorder="1" applyAlignment="1">
      <alignment horizontal="center" vertical="center"/>
    </xf>
    <xf numFmtId="0" fontId="2" fillId="4" borderId="2" xfId="49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14" fontId="2" fillId="4" borderId="4" xfId="49" applyNumberFormat="1" applyFont="1" applyFill="1" applyBorder="1" applyAlignment="1">
      <alignment horizontal="left" vertical="center"/>
    </xf>
    <xf numFmtId="14" fontId="2" fillId="4" borderId="5" xfId="49" applyNumberFormat="1" applyFont="1" applyFill="1" applyBorder="1" applyAlignment="1">
      <alignment horizontal="left" vertical="center"/>
    </xf>
    <xf numFmtId="46" fontId="2" fillId="4" borderId="3" xfId="49" applyNumberFormat="1" applyFont="1" applyFill="1" applyBorder="1" applyAlignment="1">
      <alignment horizontal="left" vertical="center"/>
    </xf>
    <xf numFmtId="0" fontId="4" fillId="4" borderId="2" xfId="49" applyFont="1" applyFill="1" applyBorder="1" applyAlignment="1">
      <alignment horizontal="center" vertical="center"/>
    </xf>
    <xf numFmtId="14" fontId="5" fillId="4" borderId="4" xfId="49" applyNumberFormat="1" applyFont="1" applyFill="1" applyBorder="1" applyAlignment="1">
      <alignment horizontal="left" vertical="center"/>
    </xf>
    <xf numFmtId="14" fontId="6" fillId="4" borderId="5" xfId="49" applyNumberFormat="1" applyFont="1" applyFill="1" applyBorder="1" applyAlignment="1">
      <alignment horizontal="left" vertical="center"/>
    </xf>
    <xf numFmtId="0" fontId="3" fillId="5" borderId="2" xfId="0" applyFont="1" applyFill="1" applyBorder="1" applyAlignment="1">
      <alignment horizontal="center" vertical="center"/>
    </xf>
    <xf numFmtId="46" fontId="2" fillId="4" borderId="2" xfId="49" applyNumberFormat="1" applyFont="1" applyFill="1" applyBorder="1" applyAlignment="1">
      <alignment horizontal="left" vertical="center"/>
    </xf>
    <xf numFmtId="0" fontId="7" fillId="4" borderId="2" xfId="49" applyFont="1" applyFill="1" applyBorder="1" applyAlignment="1">
      <alignment horizontal="center" vertical="center"/>
    </xf>
    <xf numFmtId="49" fontId="3" fillId="5" borderId="2" xfId="0" applyNumberFormat="1" applyFont="1" applyFill="1" applyBorder="1" applyAlignment="1">
      <alignment horizontal="center" vertical="center"/>
    </xf>
    <xf numFmtId="0" fontId="2" fillId="4" borderId="2" xfId="0" applyFont="1" applyFill="1" applyBorder="1" applyAlignment="1">
      <alignment vertical="center"/>
    </xf>
    <xf numFmtId="0" fontId="8" fillId="4" borderId="2" xfId="49" applyFont="1" applyFill="1" applyBorder="1" applyAlignment="1">
      <alignment horizontal="center" vertical="center"/>
    </xf>
    <xf numFmtId="0" fontId="9" fillId="0" borderId="0" xfId="0" applyFont="1" applyFill="1" applyAlignment="1">
      <alignment vertical="center"/>
    </xf>
    <xf numFmtId="0" fontId="10" fillId="0" borderId="2" xfId="0" applyFont="1" applyFill="1" applyBorder="1" applyAlignment="1">
      <alignment horizontal="left" vertical="center" wrapText="1"/>
    </xf>
    <xf numFmtId="0" fontId="10" fillId="0" borderId="0" xfId="0" applyFont="1" applyFill="1" applyBorder="1" applyAlignment="1">
      <alignment vertical="center" wrapText="1"/>
    </xf>
    <xf numFmtId="0" fontId="11" fillId="6" borderId="2" xfId="0" applyFont="1" applyFill="1" applyBorder="1" applyAlignment="1">
      <alignment horizontal="center" vertical="center" wrapText="1"/>
    </xf>
    <xf numFmtId="0" fontId="0" fillId="0" borderId="3" xfId="0" applyFont="1" applyBorder="1" applyAlignment="1">
      <alignment horizontal="center" vertical="center" wrapText="1"/>
    </xf>
    <xf numFmtId="0" fontId="0" fillId="0" borderId="3" xfId="0" applyFont="1" applyBorder="1" applyAlignment="1">
      <alignment vertical="center" wrapText="1"/>
    </xf>
    <xf numFmtId="0" fontId="12" fillId="4" borderId="6" xfId="49" applyFont="1" applyFill="1" applyBorder="1" applyAlignment="1">
      <alignment horizontal="center" vertical="center"/>
    </xf>
    <xf numFmtId="0" fontId="0" fillId="0" borderId="3" xfId="0" applyFont="1" applyBorder="1" applyAlignment="1">
      <alignment vertical="center"/>
    </xf>
    <xf numFmtId="0" fontId="12" fillId="4" borderId="7" xfId="49" applyFont="1" applyFill="1" applyBorder="1" applyAlignment="1">
      <alignment horizontal="center" vertical="center"/>
    </xf>
    <xf numFmtId="0" fontId="12" fillId="4" borderId="3" xfId="49" applyFont="1" applyFill="1" applyBorder="1" applyAlignment="1">
      <alignment horizontal="center" vertical="center"/>
    </xf>
    <xf numFmtId="0" fontId="0" fillId="0" borderId="2" xfId="0" applyFont="1" applyBorder="1" applyAlignment="1">
      <alignment vertical="center"/>
    </xf>
    <xf numFmtId="0" fontId="12" fillId="4" borderId="2" xfId="49" applyFont="1" applyFill="1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一般 10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7</xdr:col>
      <xdr:colOff>400050</xdr:colOff>
      <xdr:row>19</xdr:row>
      <xdr:rowOff>95250</xdr:rowOff>
    </xdr:from>
    <xdr:to>
      <xdr:col>7</xdr:col>
      <xdr:colOff>3103880</xdr:colOff>
      <xdr:row>19</xdr:row>
      <xdr:rowOff>724535</xdr:rowOff>
    </xdr:to>
    <xdr:pic>
      <xdr:nvPicPr>
        <xdr:cNvPr id="5" name="图片 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5992475" y="10287000"/>
          <a:ext cx="2703830" cy="6292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85725</xdr:colOff>
      <xdr:row>26</xdr:row>
      <xdr:rowOff>57150</xdr:rowOff>
    </xdr:from>
    <xdr:to>
      <xdr:col>7</xdr:col>
      <xdr:colOff>1326515</xdr:colOff>
      <xdr:row>26</xdr:row>
      <xdr:rowOff>771525</xdr:rowOff>
    </xdr:to>
    <xdr:pic>
      <xdr:nvPicPr>
        <xdr:cNvPr id="15" name="图片 14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5678150" y="16116300"/>
          <a:ext cx="1240790" cy="7143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1647825</xdr:colOff>
      <xdr:row>26</xdr:row>
      <xdr:rowOff>38100</xdr:rowOff>
    </xdr:from>
    <xdr:to>
      <xdr:col>7</xdr:col>
      <xdr:colOff>3058160</xdr:colOff>
      <xdr:row>26</xdr:row>
      <xdr:rowOff>782955</xdr:rowOff>
    </xdr:to>
    <xdr:pic>
      <xdr:nvPicPr>
        <xdr:cNvPr id="16" name="图片 15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7240250" y="16097250"/>
          <a:ext cx="1410335" cy="7448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266700</xdr:colOff>
      <xdr:row>9</xdr:row>
      <xdr:rowOff>95250</xdr:rowOff>
    </xdr:from>
    <xdr:to>
      <xdr:col>7</xdr:col>
      <xdr:colOff>3076575</xdr:colOff>
      <xdr:row>9</xdr:row>
      <xdr:rowOff>709295</xdr:rowOff>
    </xdr:to>
    <xdr:pic>
      <xdr:nvPicPr>
        <xdr:cNvPr id="2" name="图片 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5859125" y="1905000"/>
          <a:ext cx="2809875" cy="6140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142875</xdr:colOff>
      <xdr:row>11</xdr:row>
      <xdr:rowOff>57150</xdr:rowOff>
    </xdr:from>
    <xdr:to>
      <xdr:col>7</xdr:col>
      <xdr:colOff>2495550</xdr:colOff>
      <xdr:row>11</xdr:row>
      <xdr:rowOff>787400</xdr:rowOff>
    </xdr:to>
    <xdr:pic>
      <xdr:nvPicPr>
        <xdr:cNvPr id="3" name="图片 2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5735300" y="3543300"/>
          <a:ext cx="2352675" cy="730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352425</xdr:colOff>
      <xdr:row>12</xdr:row>
      <xdr:rowOff>47625</xdr:rowOff>
    </xdr:from>
    <xdr:to>
      <xdr:col>7</xdr:col>
      <xdr:colOff>2315210</xdr:colOff>
      <xdr:row>12</xdr:row>
      <xdr:rowOff>780415</xdr:rowOff>
    </xdr:to>
    <xdr:pic>
      <xdr:nvPicPr>
        <xdr:cNvPr id="4" name="图片 3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5944850" y="4371975"/>
          <a:ext cx="1962785" cy="7327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190500</xdr:colOff>
      <xdr:row>14</xdr:row>
      <xdr:rowOff>38100</xdr:rowOff>
    </xdr:from>
    <xdr:to>
      <xdr:col>7</xdr:col>
      <xdr:colOff>1743710</xdr:colOff>
      <xdr:row>14</xdr:row>
      <xdr:rowOff>768985</xdr:rowOff>
    </xdr:to>
    <xdr:pic>
      <xdr:nvPicPr>
        <xdr:cNvPr id="6" name="图片 5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15782925" y="6038850"/>
          <a:ext cx="1553210" cy="7308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180975</xdr:colOff>
      <xdr:row>16</xdr:row>
      <xdr:rowOff>104775</xdr:rowOff>
    </xdr:from>
    <xdr:to>
      <xdr:col>7</xdr:col>
      <xdr:colOff>2210435</xdr:colOff>
      <xdr:row>16</xdr:row>
      <xdr:rowOff>755650</xdr:rowOff>
    </xdr:to>
    <xdr:pic>
      <xdr:nvPicPr>
        <xdr:cNvPr id="7" name="图片 6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15773400" y="7781925"/>
          <a:ext cx="2029460" cy="6508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371475</xdr:colOff>
      <xdr:row>17</xdr:row>
      <xdr:rowOff>76200</xdr:rowOff>
    </xdr:from>
    <xdr:to>
      <xdr:col>7</xdr:col>
      <xdr:colOff>1657350</xdr:colOff>
      <xdr:row>17</xdr:row>
      <xdr:rowOff>788035</xdr:rowOff>
    </xdr:to>
    <xdr:pic>
      <xdr:nvPicPr>
        <xdr:cNvPr id="8" name="图片 7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15963900" y="8591550"/>
          <a:ext cx="1285875" cy="7118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219075</xdr:colOff>
      <xdr:row>22</xdr:row>
      <xdr:rowOff>85725</xdr:rowOff>
    </xdr:from>
    <xdr:to>
      <xdr:col>7</xdr:col>
      <xdr:colOff>2240280</xdr:colOff>
      <xdr:row>22</xdr:row>
      <xdr:rowOff>751205</xdr:rowOff>
    </xdr:to>
    <xdr:pic>
      <xdr:nvPicPr>
        <xdr:cNvPr id="9" name="图片 8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15811500" y="12792075"/>
          <a:ext cx="2021205" cy="6654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104775</xdr:colOff>
      <xdr:row>23</xdr:row>
      <xdr:rowOff>123825</xdr:rowOff>
    </xdr:from>
    <xdr:to>
      <xdr:col>7</xdr:col>
      <xdr:colOff>3595370</xdr:colOff>
      <xdr:row>23</xdr:row>
      <xdr:rowOff>752475</xdr:rowOff>
    </xdr:to>
    <xdr:pic>
      <xdr:nvPicPr>
        <xdr:cNvPr id="10" name="图片 9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15697200" y="13668375"/>
          <a:ext cx="3490595" cy="6286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123825</xdr:colOff>
      <xdr:row>24</xdr:row>
      <xdr:rowOff>133350</xdr:rowOff>
    </xdr:from>
    <xdr:to>
      <xdr:col>7</xdr:col>
      <xdr:colOff>3371850</xdr:colOff>
      <xdr:row>24</xdr:row>
      <xdr:rowOff>730885</xdr:rowOff>
    </xdr:to>
    <xdr:pic>
      <xdr:nvPicPr>
        <xdr:cNvPr id="11" name="图片 10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15716250" y="14516100"/>
          <a:ext cx="3248025" cy="59753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7"/>
  <sheetViews>
    <sheetView tabSelected="1" workbookViewId="0">
      <selection activeCell="A7" sqref="A7"/>
    </sheetView>
  </sheetViews>
  <sheetFormatPr defaultColWidth="9" defaultRowHeight="13.5"/>
  <cols>
    <col min="1" max="1" width="12.875" customWidth="1"/>
    <col min="2" max="2" width="33.125" customWidth="1"/>
    <col min="3" max="3" width="23.5" customWidth="1"/>
    <col min="4" max="4" width="16.375" customWidth="1"/>
    <col min="5" max="5" width="55.375" customWidth="1"/>
    <col min="6" max="6" width="50.75" customWidth="1"/>
    <col min="7" max="7" width="12.625" customWidth="1"/>
    <col min="8" max="8" width="54.875" customWidth="1"/>
    <col min="9" max="9" width="14.75" customWidth="1"/>
  </cols>
  <sheetData>
    <row r="1" ht="16.5" spans="1:9">
      <c r="A1" s="1" t="s">
        <v>0</v>
      </c>
      <c r="B1" s="2"/>
      <c r="C1" s="2"/>
      <c r="D1" s="2"/>
      <c r="E1" s="2"/>
      <c r="F1" s="3" t="s">
        <v>1</v>
      </c>
      <c r="G1" s="4">
        <f>G2+G3+G4</f>
        <v>8</v>
      </c>
    </row>
    <row r="2" ht="16.5" spans="1:9">
      <c r="A2" s="5" t="s">
        <v>2</v>
      </c>
      <c r="B2" s="6" t="s">
        <v>3</v>
      </c>
      <c r="C2" s="7"/>
      <c r="D2" s="5" t="s">
        <v>4</v>
      </c>
      <c r="E2" s="8"/>
      <c r="F2" s="9" t="s">
        <v>5</v>
      </c>
      <c r="G2" s="9">
        <f>COUNTIF(G9:G76,"Pass")</f>
        <v>8</v>
      </c>
    </row>
    <row r="3" ht="16.5" spans="1:9">
      <c r="A3" s="5" t="s">
        <v>6</v>
      </c>
      <c r="B3" s="10"/>
      <c r="C3" s="11"/>
      <c r="D3" s="12" t="s">
        <v>7</v>
      </c>
      <c r="E3" s="13"/>
      <c r="F3" s="14" t="s">
        <v>8</v>
      </c>
      <c r="G3" s="14">
        <f>COUNTIF(G9:G76,"Fail")</f>
        <v>0</v>
      </c>
    </row>
    <row r="4" ht="16.5" spans="1:9">
      <c r="A4" s="5" t="s">
        <v>9</v>
      </c>
      <c r="B4" s="6"/>
      <c r="C4" s="7"/>
      <c r="D4" s="15" t="s">
        <v>10</v>
      </c>
      <c r="E4" s="16"/>
      <c r="F4" s="17" t="s">
        <v>11</v>
      </c>
      <c r="G4" s="17">
        <f>COUNTIF(G9:G76,"N/A")</f>
        <v>0</v>
      </c>
    </row>
    <row r="5" ht="16.5" spans="1:9">
      <c r="A5" s="5" t="s">
        <v>12</v>
      </c>
      <c r="B5" s="6"/>
      <c r="C5" s="7"/>
      <c r="D5" s="12" t="s">
        <v>13</v>
      </c>
      <c r="E5" s="16"/>
      <c r="F5" s="18"/>
      <c r="G5" s="18"/>
    </row>
    <row r="6" ht="14.25" spans="1:9">
      <c r="A6" s="5" t="s">
        <v>14</v>
      </c>
      <c r="B6" s="19"/>
      <c r="C6" s="19"/>
      <c r="D6" s="19"/>
      <c r="E6" s="19"/>
      <c r="F6" s="20"/>
      <c r="G6" s="18"/>
    </row>
    <row r="9" ht="18.75" spans="1:9">
      <c r="A9" s="21" t="s">
        <v>15</v>
      </c>
      <c r="B9" s="21" t="s">
        <v>16</v>
      </c>
      <c r="C9" s="21" t="s">
        <v>17</v>
      </c>
      <c r="D9" s="21" t="s">
        <v>18</v>
      </c>
      <c r="E9" s="21" t="s">
        <v>19</v>
      </c>
      <c r="F9" s="21" t="s">
        <v>20</v>
      </c>
      <c r="G9" s="21" t="s">
        <v>21</v>
      </c>
      <c r="H9" s="21" t="s">
        <v>22</v>
      </c>
      <c r="I9" s="21" t="s">
        <v>23</v>
      </c>
    </row>
    <row r="10" ht="66" customHeight="1" spans="1:9">
      <c r="A10" s="22">
        <v>1</v>
      </c>
      <c r="B10" s="23" t="s">
        <v>24</v>
      </c>
      <c r="C10" s="23" t="s">
        <v>25</v>
      </c>
      <c r="D10" s="23"/>
      <c r="E10" s="23" t="s">
        <v>26</v>
      </c>
      <c r="F10" s="23" t="s">
        <v>27</v>
      </c>
      <c r="G10" s="24" t="s">
        <v>5</v>
      </c>
      <c r="H10" s="25"/>
      <c r="I10" s="23"/>
    </row>
    <row r="11" ht="66" customHeight="1" spans="1:9">
      <c r="A11" s="22">
        <v>2</v>
      </c>
      <c r="B11" s="23" t="s">
        <v>28</v>
      </c>
      <c r="C11" s="23" t="s">
        <v>25</v>
      </c>
      <c r="D11" s="23" t="s">
        <v>29</v>
      </c>
      <c r="E11" s="23" t="s">
        <v>30</v>
      </c>
      <c r="F11" s="23" t="s">
        <v>31</v>
      </c>
      <c r="G11" s="24" t="s">
        <v>5</v>
      </c>
      <c r="H11" s="25"/>
      <c r="I11" s="23"/>
    </row>
    <row r="12" ht="66" customHeight="1" spans="1:9">
      <c r="A12" s="22"/>
      <c r="B12" s="23"/>
      <c r="C12" s="23"/>
      <c r="D12" s="23"/>
      <c r="E12" s="23" t="s">
        <v>32</v>
      </c>
      <c r="F12" s="23" t="s">
        <v>33</v>
      </c>
      <c r="G12" s="26"/>
      <c r="H12" s="25"/>
      <c r="I12" s="23"/>
    </row>
    <row r="13" ht="66" customHeight="1" spans="1:9">
      <c r="A13" s="22"/>
      <c r="B13" s="23"/>
      <c r="C13" s="23"/>
      <c r="D13" s="23"/>
      <c r="E13" s="23" t="s">
        <v>34</v>
      </c>
      <c r="F13" s="23" t="s">
        <v>35</v>
      </c>
      <c r="G13" s="26"/>
      <c r="H13" s="25"/>
      <c r="I13" s="23"/>
    </row>
    <row r="14" ht="66" customHeight="1" spans="1:9">
      <c r="A14" s="22"/>
      <c r="B14" s="23"/>
      <c r="C14" s="23"/>
      <c r="D14" s="23"/>
      <c r="E14" s="23" t="s">
        <v>36</v>
      </c>
      <c r="F14" s="23" t="s">
        <v>37</v>
      </c>
      <c r="G14" s="26"/>
      <c r="H14" s="25"/>
      <c r="I14" s="23"/>
    </row>
    <row r="15" ht="66" customHeight="1" spans="1:9">
      <c r="A15" s="22"/>
      <c r="B15" s="23"/>
      <c r="C15" s="23"/>
      <c r="D15" s="23"/>
      <c r="E15" s="23" t="s">
        <v>38</v>
      </c>
      <c r="F15" s="23" t="s">
        <v>33</v>
      </c>
      <c r="G15" s="26"/>
      <c r="H15" s="25"/>
      <c r="I15" s="23"/>
    </row>
    <row r="16" ht="66" customHeight="1" spans="1:9">
      <c r="A16" s="22"/>
      <c r="B16" s="23"/>
      <c r="C16" s="23"/>
      <c r="D16" s="23"/>
      <c r="E16" s="23" t="s">
        <v>39</v>
      </c>
      <c r="F16" s="23" t="s">
        <v>37</v>
      </c>
      <c r="G16" s="26"/>
      <c r="H16" s="25"/>
      <c r="I16" s="23"/>
    </row>
    <row r="17" ht="66" customHeight="1" spans="1:9">
      <c r="A17" s="22"/>
      <c r="B17" s="23"/>
      <c r="C17" s="23"/>
      <c r="D17" s="23"/>
      <c r="E17" s="23" t="s">
        <v>40</v>
      </c>
      <c r="F17" s="23" t="s">
        <v>41</v>
      </c>
      <c r="G17" s="27"/>
      <c r="H17" s="28"/>
      <c r="I17" s="23"/>
    </row>
    <row r="18" ht="66" customHeight="1" spans="1:9">
      <c r="A18" s="22">
        <v>3</v>
      </c>
      <c r="B18" s="23" t="s">
        <v>42</v>
      </c>
      <c r="C18" s="23" t="s">
        <v>25</v>
      </c>
      <c r="D18" s="23" t="s">
        <v>29</v>
      </c>
      <c r="E18" s="23" t="s">
        <v>43</v>
      </c>
      <c r="F18" s="23" t="s">
        <v>44</v>
      </c>
      <c r="G18" s="24" t="s">
        <v>5</v>
      </c>
      <c r="H18" s="25"/>
      <c r="I18" s="23"/>
    </row>
    <row r="19" ht="66" customHeight="1" spans="1:9">
      <c r="A19" s="22"/>
      <c r="B19" s="23"/>
      <c r="C19" s="23"/>
      <c r="D19" s="23"/>
      <c r="E19" s="23" t="s">
        <v>45</v>
      </c>
      <c r="F19" s="23" t="s">
        <v>46</v>
      </c>
      <c r="G19" s="26"/>
      <c r="H19" s="25"/>
      <c r="I19" s="23"/>
    </row>
    <row r="20" ht="66" customHeight="1" spans="1:9">
      <c r="A20" s="22">
        <v>4</v>
      </c>
      <c r="B20" s="23" t="s">
        <v>47</v>
      </c>
      <c r="C20" s="23" t="s">
        <v>25</v>
      </c>
      <c r="D20" s="23" t="s">
        <v>29</v>
      </c>
      <c r="E20" s="23" t="s">
        <v>48</v>
      </c>
      <c r="F20" s="23" t="s">
        <v>49</v>
      </c>
      <c r="G20" s="24" t="s">
        <v>5</v>
      </c>
      <c r="H20" s="25"/>
      <c r="I20" s="23"/>
    </row>
    <row r="21" ht="66" customHeight="1" spans="1:9">
      <c r="A21" s="22"/>
      <c r="B21" s="23"/>
      <c r="C21" s="23"/>
      <c r="D21" s="23"/>
      <c r="E21" s="23" t="s">
        <v>50</v>
      </c>
      <c r="F21" s="23" t="s">
        <v>51</v>
      </c>
      <c r="G21" s="27"/>
      <c r="H21" s="28"/>
      <c r="I21" s="23"/>
    </row>
    <row r="22" ht="66" customHeight="1" spans="1:9">
      <c r="A22" s="22">
        <v>5</v>
      </c>
      <c r="B22" s="23" t="s">
        <v>52</v>
      </c>
      <c r="C22" s="23" t="s">
        <v>25</v>
      </c>
      <c r="D22" s="23" t="s">
        <v>29</v>
      </c>
      <c r="E22" s="23" t="s">
        <v>53</v>
      </c>
      <c r="F22" s="23" t="s">
        <v>54</v>
      </c>
      <c r="G22" s="24" t="s">
        <v>5</v>
      </c>
      <c r="H22" s="25"/>
      <c r="I22" s="23"/>
    </row>
    <row r="23" ht="66" customHeight="1" spans="1:9">
      <c r="A23" s="22">
        <v>6</v>
      </c>
      <c r="B23" s="23" t="s">
        <v>55</v>
      </c>
      <c r="C23" s="23" t="s">
        <v>25</v>
      </c>
      <c r="D23" s="23" t="s">
        <v>29</v>
      </c>
      <c r="E23" s="23" t="s">
        <v>56</v>
      </c>
      <c r="F23" s="23" t="s">
        <v>57</v>
      </c>
      <c r="G23" s="24" t="s">
        <v>5</v>
      </c>
      <c r="H23" s="25"/>
      <c r="I23" s="23"/>
    </row>
    <row r="24" ht="66" customHeight="1" spans="1:9">
      <c r="A24" s="22">
        <v>7</v>
      </c>
      <c r="B24" s="23" t="s">
        <v>58</v>
      </c>
      <c r="C24" s="23" t="s">
        <v>25</v>
      </c>
      <c r="D24" s="23" t="s">
        <v>29</v>
      </c>
      <c r="E24" s="23" t="s">
        <v>59</v>
      </c>
      <c r="F24" s="23" t="s">
        <v>60</v>
      </c>
      <c r="G24" s="24" t="s">
        <v>5</v>
      </c>
      <c r="H24" s="25"/>
      <c r="I24" s="23"/>
    </row>
    <row r="25" ht="66" customHeight="1" spans="1:9">
      <c r="A25" s="22"/>
      <c r="B25" s="23"/>
      <c r="C25" s="23"/>
      <c r="D25" s="23"/>
      <c r="E25" s="23" t="s">
        <v>61</v>
      </c>
      <c r="F25" s="23" t="s">
        <v>62</v>
      </c>
      <c r="G25" s="26"/>
      <c r="H25" s="25"/>
      <c r="I25" s="23"/>
    </row>
    <row r="26" ht="66" customHeight="1" spans="1:9">
      <c r="A26" s="22"/>
      <c r="B26" s="23"/>
      <c r="C26" s="23"/>
      <c r="D26" s="23"/>
      <c r="E26" s="23" t="s">
        <v>63</v>
      </c>
      <c r="F26" s="23" t="s">
        <v>64</v>
      </c>
      <c r="G26" s="27"/>
      <c r="H26" s="25"/>
      <c r="I26" s="23"/>
    </row>
    <row r="27" ht="66" customHeight="1" spans="1:9">
      <c r="A27" s="22">
        <v>8</v>
      </c>
      <c r="B27" s="23" t="s">
        <v>65</v>
      </c>
      <c r="C27" s="23" t="s">
        <v>66</v>
      </c>
      <c r="D27" s="23" t="s">
        <v>67</v>
      </c>
      <c r="E27" s="23" t="s">
        <v>68</v>
      </c>
      <c r="F27" s="23" t="s">
        <v>69</v>
      </c>
      <c r="G27" s="29" t="s">
        <v>5</v>
      </c>
      <c r="H27" s="25"/>
      <c r="I27" s="23"/>
    </row>
  </sheetData>
  <mergeCells count="30">
    <mergeCell ref="A1:E1"/>
    <mergeCell ref="B2:C2"/>
    <mergeCell ref="B3:C3"/>
    <mergeCell ref="B4:C4"/>
    <mergeCell ref="B5:C5"/>
    <mergeCell ref="B6:E6"/>
    <mergeCell ref="A11:A17"/>
    <mergeCell ref="A18:A19"/>
    <mergeCell ref="A20:A21"/>
    <mergeCell ref="A24:A26"/>
    <mergeCell ref="B11:B17"/>
    <mergeCell ref="B18:B19"/>
    <mergeCell ref="B20:B21"/>
    <mergeCell ref="B24:B26"/>
    <mergeCell ref="C11:C17"/>
    <mergeCell ref="C18:C19"/>
    <mergeCell ref="C20:C21"/>
    <mergeCell ref="C24:C26"/>
    <mergeCell ref="D11:D17"/>
    <mergeCell ref="D18:D19"/>
    <mergeCell ref="D20:D21"/>
    <mergeCell ref="D24:D26"/>
    <mergeCell ref="G11:G17"/>
    <mergeCell ref="G18:G19"/>
    <mergeCell ref="G20:G21"/>
    <mergeCell ref="G24:G26"/>
    <mergeCell ref="I11:I17"/>
    <mergeCell ref="I18:I19"/>
    <mergeCell ref="I20:I21"/>
    <mergeCell ref="I24:I26"/>
  </mergeCells>
  <dataValidations count="2">
    <dataValidation type="list" allowBlank="1" showInputMessage="1" showErrorMessage="1" sqref="G1:G6">
      <formula1>#REF!</formula1>
    </dataValidation>
    <dataValidation type="list" allowBlank="1" showInputMessage="1" showErrorMessage="1" sqref="G10:G18 G19:G27">
      <formula1>"Pass,Fail,N/A"</formula1>
    </dataValidation>
  </dataValidations>
  <pageMargins left="0.7" right="0.7" top="0.75" bottom="0.75" header="0.3" footer="0.3"/>
  <headerFooter/>
  <ignoredErrors>
    <ignoredError sqref="G2" listDataValidation="1"/>
  </ignoredError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E40" sqref="E40"/>
    </sheetView>
  </sheetViews>
  <sheetFormatPr defaultColWidth="9" defaultRowHeight="13.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首充7日签到弹窗优化</vt:lpstr>
      <vt:lpstr>功能位置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山寸</cp:lastModifiedBy>
  <dcterms:created xsi:type="dcterms:W3CDTF">2025-08-21T03:37:00Z</dcterms:created>
  <dcterms:modified xsi:type="dcterms:W3CDTF">2026-01-20T10:39:52Z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63DE6CE328064F3AB7938547EEC34F3B_12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