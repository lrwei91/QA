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A6B600C-C997-4A48-B7E3-89CAF273C6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自动化短信营销功能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 l="1"/>
</calcChain>
</file>

<file path=xl/sharedStrings.xml><?xml version="1.0" encoding="utf-8"?>
<sst xmlns="http://schemas.openxmlformats.org/spreadsheetml/2006/main" count="121" uniqueCount="97">
  <si>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</si>
  <si>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</si>
  <si>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</si>
  <si>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</si>
  <si>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</si>
  <si>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</si>
  <si>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</si>
  <si>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</si>
  <si>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</si>
  <si>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</si>
  <si>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</si>
  <si>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</si>
  <si>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</si>
  <si>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</si>
  <si>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</si>
  <si>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</si>
  <si>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</si>
  <si>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</si>
  <si>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</si>
  <si>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</si>
  <si>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</si>
  <si>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</si>
  <si>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账服后台</t>
  </si>
  <si>
    <t>短信渠道</t>
  </si>
  <si>
    <t>新增短信渠道</t>
  </si>
  <si>
    <t>1. 管理员登录后台
2. 拥有短信渠道管理权限</t>
  </si>
  <si>
    <t>1. 进入【短信营销中心】-【短信渠道】
2. 点击【新增】，填写渠道名称、类型、URL、应用KEY、应用密钥、应用ID、发送成本
3. 点击【立即提交】</t>
  </si>
  <si>
    <t>渠道新增成功，列表显示新记录</t>
  </si>
  <si>
    <t>编辑短信渠道</t>
  </si>
  <si>
    <t>已存在短信渠道</t>
  </si>
  <si>
    <t>1. 点击某渠道【编辑】
2. 修改任意字段
3. 保存</t>
  </si>
  <si>
    <t>修改成功，列表数据更新</t>
  </si>
  <si>
    <t>删除短信渠道</t>
  </si>
  <si>
    <t>1. 点击某渠道【删除】
2. 确认删除</t>
  </si>
  <si>
    <t>渠道从列表中移除</t>
  </si>
  <si>
    <t>短信模板</t>
  </si>
  <si>
    <t>管理员登录后台</t>
  </si>
  <si>
    <t>1. 进入【短信营销中心】-【短信模板】
2. 点击【新增】，填写模板名称、短信内容
3. 插入变量
4. 保存</t>
  </si>
  <si>
    <t>模板新增成功，列表显示</t>
  </si>
  <si>
    <t>已存在模板</t>
  </si>
  <si>
    <t>流失引导任务</t>
  </si>
  <si>
    <t>新增流失引导任务（短信）</t>
  </si>
  <si>
    <t>已配置短信渠道和模板</t>
  </si>
  <si>
    <t>1. 进入【短信营销中心】-【发送任务】-【流失引导任务】
2. 点击【+新增任务】
3. 填写任务名称、流失用户起始注册时间
4. 配置条件区间：充值金额、未登录天数、金币余额、最近充值时间、生涯充值次数（均为区间）
5. 选择“禁用用户是否发送”为否
6. 选择短信模板、发送通道
7. 设置发送频率、最大召回次数
8. 保存</t>
  </si>
  <si>
    <t>任务创建成功，列表显示新任务</t>
  </si>
  <si>
    <t>编辑流失引导任务</t>
  </si>
  <si>
    <t>已有任务</t>
  </si>
  <si>
    <t>1. 点击任务【编辑】
2. 修改任意配置项
3. 保存</t>
  </si>
  <si>
    <t>修改成功，数据更新</t>
  </si>
  <si>
    <t>删除流失引导任务</t>
  </si>
  <si>
    <t>1. 点击任务【删除】
2. 确认</t>
  </si>
  <si>
    <t>任务被删除</t>
  </si>
  <si>
    <t>0充流失引导任务</t>
  </si>
  <si>
    <t>新增0充流失引导任务</t>
  </si>
  <si>
    <t>类似流失引导任务，但条件为0充值用户</t>
  </si>
  <si>
    <t>1. 进入【0充流失引导任务】
2. 新增任务，配置未登录天数、金币余额、启用状态等</t>
  </si>
  <si>
    <t>任务创建成功</t>
  </si>
  <si>
    <t>发送任务列表</t>
  </si>
  <si>
    <t>查看/筛选发送任务</t>
  </si>
  <si>
    <t>存在多个发送任务</t>
  </si>
  <si>
    <t>1. 进入【发送任务】列表页
2. 按任务类型、状态、时间等筛选</t>
  </si>
  <si>
    <t>列表正确显示筛选结果</t>
  </si>
  <si>
    <t>发送任务</t>
  </si>
  <si>
    <t>删除发送任务</t>
  </si>
  <si>
    <t>存在历史任务</t>
  </si>
  <si>
    <t>点击某任务【删除任务】</t>
  </si>
  <si>
    <t>任务被删除，相关统计不受影响</t>
  </si>
  <si>
    <t>发送记录</t>
  </si>
  <si>
    <t>查看任务发送统计</t>
  </si>
  <si>
    <t>任务已执行发送</t>
  </si>
  <si>
    <t>1. 进入【发送记录】
2. 选择任务查看详情</t>
  </si>
  <si>
    <t>显示发送成功人数、发送成本、登录人数、充值人数、付费率、ROI等跟踪数据</t>
  </si>
  <si>
    <t>导出统计数据</t>
  </si>
  <si>
    <t>有发送记录</t>
  </si>
  <si>
    <t>点击【导出】</t>
  </si>
  <si>
    <t>导出文件包含所需统计字段</t>
  </si>
  <si>
    <t>玩家列表</t>
  </si>
  <si>
    <t>自动化任务</t>
  </si>
  <si>
    <t>多任务平行发送</t>
  </si>
  <si>
    <t>1. 配置多个不同条件的任务（普通召回、0充召回）
2. 任务均处于启用状态</t>
  </si>
  <si>
    <t>1. 触发短信发送（定时或立即）
2. 查看各任务的发送记录</t>
  </si>
  <si>
    <t>各任务按各自频率独立发送，互不干扰，记录正确</t>
  </si>
  <si>
    <t>玩家详情页面</t>
    <phoneticPr fontId="12" type="noConversion"/>
  </si>
  <si>
    <t>1. 进入【玩家详情】
2. 查看详情</t>
    <phoneticPr fontId="12" type="noConversion"/>
  </si>
  <si>
    <t>详情中存在“手机验证状态”列，显示已验证/未验证</t>
    <phoneticPr fontId="12" type="noConversion"/>
  </si>
  <si>
    <t>新增“是否验证”字段</t>
    <phoneticPr fontId="12" type="noConversion"/>
  </si>
  <si>
    <t>自动化短信营销功能</t>
    <phoneticPr fontId="12" type="noConversion"/>
  </si>
  <si>
    <t>对模板执行删除操作</t>
    <phoneticPr fontId="12" type="noConversion"/>
  </si>
  <si>
    <t>对模板执行复制操作</t>
    <phoneticPr fontId="12" type="noConversion"/>
  </si>
  <si>
    <t>对模板执行编辑操作</t>
    <phoneticPr fontId="12" type="noConversion"/>
  </si>
  <si>
    <t>编辑成功</t>
    <phoneticPr fontId="12" type="noConversion"/>
  </si>
  <si>
    <t>删除成功</t>
    <phoneticPr fontId="12" type="noConversion"/>
  </si>
  <si>
    <t>添加成功</t>
    <phoneticPr fontId="12" type="noConversion"/>
  </si>
  <si>
    <t>新增短信模板</t>
    <phoneticPr fontId="12" type="noConversion"/>
  </si>
  <si>
    <t>编辑短信模板</t>
    <phoneticPr fontId="12" type="noConversion"/>
  </si>
  <si>
    <t>复制短信模板</t>
    <phoneticPr fontId="12" type="noConversion"/>
  </si>
  <si>
    <t>删除短信模板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</si>
</sst>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sz val="12"/>
      <color rgb="FF0F1115"/>
      <name val="宋体"/>
      <charset val="134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0F1115"/>
      <name val="宋体"/>
      <family val="3"/>
      <charset val="134"/>
    </font>
    <font>
      <b/>
      <sz val="12"/>
      <color rgb="FF0F1115"/>
      <name val="宋体"/>
      <family val="3"/>
      <charset val="134"/>
    </font>
    <font>
      <b/>
      <sz val="12"/>
      <color theme="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1" applyNumberFormat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1" applyNumberFormat="1" applyFont="1" applyFill="1" applyBorder="1" applyAlignment="1">
      <alignment horizontal="left" vertical="center"/>
    </xf>
    <xf numFmtId="0" fontId="6" fillId="4" borderId="2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7" fillId="4" borderId="7" xfId="1" applyFont="1" applyFill="1" applyBorder="1" applyAlignment="1">
      <alignment horizontal="center" vertical="center"/>
    </xf>
    <xf numFmtId="0" fontId="4" fillId="4" borderId="2" xfId="0" applyFont="1" applyFill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3" fillId="5" borderId="7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14" fontId="4" fillId="4" borderId="4" xfId="1" applyNumberFormat="1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left" vertical="center" wrapText="1"/>
    </xf>
    <xf numFmtId="0" fontId="9" fillId="7" borderId="10" xfId="0" applyFont="1" applyFill="1" applyBorder="1" applyAlignment="1">
      <alignment horizontal="left" vertical="center" wrapText="1"/>
    </xf>
    <xf numFmtId="0" fontId="9" fillId="7" borderId="6" xfId="0" applyFont="1" applyFill="1" applyBorder="1" applyAlignment="1">
      <alignment horizontal="left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6" xfId="0" applyFont="1" applyBorder="1">
      <alignment vertical="center"/>
    </xf>
    <xf numFmtId="0" fontId="10" fillId="0" borderId="10" xfId="0" applyFont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</cellXfs>
  <cellStyles count="2">
    <cellStyle name="常规" xfId="0" builtinId="0"/>
    <cellStyle name="一般 10" xfId="1" xr:uid="{00000000-0005-0000-0000-000031000000}"/>
  </cellStyles>
  <dxfs count="36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871220</xdr:colOff>
      <xdr:row>7</xdr:row>
      <xdr:rowOff>424180</xdr:rowOff>
    </xdr:from>
    <xdr:to>
      <xdr:col>8</xdr:col>
      <xdr:colOff>1990725</xdr:colOff>
      <xdr:row>9</xdr:row>
      <xdr:rowOff>73025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69295" y="1805305"/>
          <a:ext cx="1119505" cy="537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1019175</xdr:colOff>
      <xdr:row>11</xdr:row>
      <xdr:rowOff>48260</xdr:rowOff>
    </xdr:from>
    <xdr:to>
      <xdr:col>8</xdr:col>
      <xdr:colOff>1962150</xdr:colOff>
      <xdr:row>12</xdr:row>
      <xdr:rowOff>222250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717250" y="3207385"/>
          <a:ext cx="942975" cy="618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166370</xdr:colOff>
      <xdr:row>13</xdr:row>
      <xdr:rowOff>416560</xdr:rowOff>
    </xdr:from>
    <xdr:to>
      <xdr:col>8</xdr:col>
      <xdr:colOff>933450</xdr:colOff>
      <xdr:row>14</xdr:row>
      <xdr:rowOff>393700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4445" y="4464685"/>
          <a:ext cx="767080" cy="421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1374140</xdr:colOff>
      <xdr:row>13</xdr:row>
      <xdr:rowOff>365125</xdr:rowOff>
    </xdr:from>
    <xdr:to>
      <xdr:col>8</xdr:col>
      <xdr:colOff>2257425</xdr:colOff>
      <xdr:row>14</xdr:row>
      <xdr:rowOff>374650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072215" y="4413250"/>
          <a:ext cx="883285" cy="454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831850</xdr:colOff>
      <xdr:row>16</xdr:row>
      <xdr:rowOff>93345</xdr:rowOff>
    </xdr:from>
    <xdr:to>
      <xdr:col>8</xdr:col>
      <xdr:colOff>1933575</xdr:colOff>
      <xdr:row>17</xdr:row>
      <xdr:rowOff>139700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529925" y="5830570"/>
          <a:ext cx="1101725" cy="490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1057275</xdr:colOff>
      <xdr:row>19</xdr:row>
      <xdr:rowOff>255270</xdr:rowOff>
    </xdr:from>
    <xdr:to>
      <xdr:col>8</xdr:col>
      <xdr:colOff>1572895</xdr:colOff>
      <xdr:row>19</xdr:row>
      <xdr:rowOff>581660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755350" y="7256145"/>
          <a:ext cx="515620" cy="326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991870</xdr:colOff>
      <xdr:row>20</xdr:row>
      <xdr:rowOff>452755</xdr:rowOff>
    </xdr:from>
    <xdr:to>
      <xdr:col>8</xdr:col>
      <xdr:colOff>1600835</xdr:colOff>
      <xdr:row>20</xdr:row>
      <xdr:rowOff>815975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689945" y="8396605"/>
          <a:ext cx="608965" cy="363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1133475</xdr:colOff>
      <xdr:row>21</xdr:row>
      <xdr:rowOff>472440</xdr:rowOff>
    </xdr:from>
    <xdr:to>
      <xdr:col>8</xdr:col>
      <xdr:colOff>1819275</xdr:colOff>
      <xdr:row>21</xdr:row>
      <xdr:rowOff>863600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31550" y="9435465"/>
          <a:ext cx="685800" cy="391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588010</xdr:colOff>
      <xdr:row>24</xdr:row>
      <xdr:rowOff>408305</xdr:rowOff>
    </xdr:from>
    <xdr:to>
      <xdr:col>8</xdr:col>
      <xdr:colOff>2129790</xdr:colOff>
      <xdr:row>26</xdr:row>
      <xdr:rowOff>199390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286085" y="9726930"/>
          <a:ext cx="1541780" cy="680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889000</xdr:colOff>
      <xdr:row>27</xdr:row>
      <xdr:rowOff>310515</xdr:rowOff>
    </xdr:from>
    <xdr:to>
      <xdr:col>8</xdr:col>
      <xdr:colOff>1743075</xdr:colOff>
      <xdr:row>29</xdr:row>
      <xdr:rowOff>53975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587075" y="12296140"/>
          <a:ext cx="854075" cy="632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755650</xdr:colOff>
      <xdr:row>30</xdr:row>
      <xdr:rowOff>96520</xdr:rowOff>
    </xdr:from>
    <xdr:to>
      <xdr:col>8</xdr:col>
      <xdr:colOff>1762125</xdr:colOff>
      <xdr:row>31</xdr:row>
      <xdr:rowOff>130175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453725" y="13415645"/>
          <a:ext cx="1006475" cy="478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786765</xdr:colOff>
      <xdr:row>32</xdr:row>
      <xdr:rowOff>243840</xdr:rowOff>
    </xdr:from>
    <xdr:to>
      <xdr:col>8</xdr:col>
      <xdr:colOff>1857375</xdr:colOff>
      <xdr:row>33</xdr:row>
      <xdr:rowOff>206375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484840" y="14451965"/>
          <a:ext cx="1070610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913765</xdr:colOff>
      <xdr:row>34</xdr:row>
      <xdr:rowOff>201295</xdr:rowOff>
    </xdr:from>
    <xdr:to>
      <xdr:col>8</xdr:col>
      <xdr:colOff>1819275</xdr:colOff>
      <xdr:row>35</xdr:row>
      <xdr:rowOff>101600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611840" y="15298420"/>
          <a:ext cx="905510" cy="344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904240</xdr:colOff>
      <xdr:row>36</xdr:row>
      <xdr:rowOff>241935</xdr:rowOff>
    </xdr:from>
    <xdr:to>
      <xdr:col>8</xdr:col>
      <xdr:colOff>1762125</xdr:colOff>
      <xdr:row>36</xdr:row>
      <xdr:rowOff>682625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602315" y="16228060"/>
          <a:ext cx="857885" cy="440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1057275</xdr:colOff>
      <xdr:row>37</xdr:row>
      <xdr:rowOff>257175</xdr:rowOff>
    </xdr:from>
    <xdr:to>
      <xdr:col>8</xdr:col>
      <xdr:colOff>1998469</xdr:colOff>
      <xdr:row>38</xdr:row>
      <xdr:rowOff>228227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FBE693CA-9E1A-E568-606E-C633FC2B3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755350" y="17030700"/>
          <a:ext cx="941194" cy="409202"/>
        </a:xfrm>
        <a:prstGeom prst="rect">
          <a:avLst/>
        </a:prstGeom>
      </xdr:spPr>
    </xdr:pic>
    <xdr:clientData/>
  </xdr:twoCellAnchor>
  <xdr:twoCellAnchor editAs="oneCell">
    <xdr:from>
      <xdr:col>8</xdr:col>
      <xdr:colOff>561975</xdr:colOff>
      <xdr:row>39</xdr:row>
      <xdr:rowOff>200025</xdr:rowOff>
    </xdr:from>
    <xdr:to>
      <xdr:col>8</xdr:col>
      <xdr:colOff>2208381</xdr:colOff>
      <xdr:row>39</xdr:row>
      <xdr:rowOff>742551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CE1DEC18-F69B-DD22-14FD-A2841E764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260050" y="17849850"/>
          <a:ext cx="1646406" cy="542526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40</xdr:row>
      <xdr:rowOff>266700</xdr:rowOff>
    </xdr:from>
    <xdr:to>
      <xdr:col>8</xdr:col>
      <xdr:colOff>1875656</xdr:colOff>
      <xdr:row>41</xdr:row>
      <xdr:rowOff>200025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FDE08692-73A0-F9FD-1AAC-BDD7590B3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555325" y="18888075"/>
          <a:ext cx="1018406" cy="371475"/>
        </a:xfrm>
        <a:prstGeom prst="rect">
          <a:avLst/>
        </a:prstGeom>
      </xdr:spPr>
    </xdr:pic>
    <xdr:clientData/>
  </xdr:twoCellAnchor>
  <xdr:twoCellAnchor editAs="oneCell">
    <xdr:from>
      <xdr:col>8</xdr:col>
      <xdr:colOff>969000</xdr:colOff>
      <xdr:row>42</xdr:row>
      <xdr:rowOff>200025</xdr:rowOff>
    </xdr:from>
    <xdr:to>
      <xdr:col>8</xdr:col>
      <xdr:colOff>1817572</xdr:colOff>
      <xdr:row>43</xdr:row>
      <xdr:rowOff>256183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C351F303-EF7E-EBEA-159F-B6E22E387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3667075" y="18383250"/>
          <a:ext cx="848572" cy="494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pane ySplit="7" topLeftCell="A39" activePane="bottomLeft" state="frozen"/>
      <selection pane="bottomLeft" activeCell="C43" sqref="C43:C44"/>
    </sheetView>
  </sheetViews>
  <sheetFormatPr defaultColWidth="9" defaultRowHeight="14.25" x14ac:dyDescent="0.15"/>
  <cols>
    <col min="1" max="2" width="25.75" style="2" customWidth="1"/>
    <col min="3" max="3" width="30.625" style="1" customWidth="1"/>
    <col min="4" max="4" width="29.5" style="1" customWidth="1"/>
    <col min="5" max="5" width="55.25" style="1" customWidth="1"/>
    <col min="6" max="6" width="65.25" style="1" customWidth="1"/>
    <col min="7" max="7" width="47.375" style="1" customWidth="1"/>
    <col min="8" max="8" width="18.375" style="3" customWidth="1"/>
    <col min="9" max="9" width="36.125" style="1" customWidth="1"/>
    <col min="10" max="16384" width="9" style="1"/>
  </cols>
  <sheetData>
    <row r="1" spans="1:9" ht="16.5" customHeight="1" x14ac:dyDescent="0.15">
      <c r="A1" s="38" t="s">
        <v>86</v>
      </c>
      <c r="B1" s="39"/>
      <c r="C1" s="39"/>
      <c r="D1" s="39"/>
      <c r="E1" s="39"/>
      <c r="F1" s="39"/>
      <c r="G1" s="4" t="s">
        <v>0</v>
      </c>
      <c r="H1" s="5">
        <f>H2+H3+H4</f>
        <v>17</v>
      </c>
      <c r="I1" s="6"/>
    </row>
    <row r="2" spans="1:9" x14ac:dyDescent="0.15">
      <c r="A2" s="7" t="s">
        <v>1</v>
      </c>
      <c r="B2" s="8"/>
      <c r="C2" s="40"/>
      <c r="D2" s="40"/>
      <c r="E2" s="9" t="s">
        <v>2</v>
      </c>
      <c r="F2" s="10">
        <v>46101</v>
      </c>
      <c r="G2" s="11" t="s">
        <v>3</v>
      </c>
      <c r="H2" s="12">
        <f>COUNTIF(H8:H231,"Pass")</f>
        <v>17</v>
      </c>
      <c r="I2" s="6"/>
    </row>
    <row r="3" spans="1:9" ht="16.5" customHeight="1" x14ac:dyDescent="0.15">
      <c r="A3" s="13" t="s">
        <v>4</v>
      </c>
      <c r="B3" s="8"/>
      <c r="C3" s="40"/>
      <c r="D3" s="40"/>
      <c r="E3" s="14" t="s">
        <v>5</v>
      </c>
      <c r="F3" s="15"/>
      <c r="G3" s="16" t="s">
        <v>6</v>
      </c>
      <c r="H3" s="17">
        <f>COUNTIF(H8:H231,"Fail")</f>
        <v>0</v>
      </c>
      <c r="I3" s="6"/>
    </row>
    <row r="4" spans="1:9" ht="16.5" customHeight="1" x14ac:dyDescent="0.15">
      <c r="A4" s="18" t="s">
        <v>7</v>
      </c>
      <c r="B4" s="19"/>
      <c r="C4" s="40"/>
      <c r="D4" s="40"/>
      <c r="E4" s="20" t="s">
        <v>8</v>
      </c>
      <c r="F4" s="21"/>
      <c r="G4" s="22" t="s">
        <v>9</v>
      </c>
      <c r="H4" s="23">
        <f>COUNTIF(H8:H231,"N/A")</f>
        <v>0</v>
      </c>
      <c r="I4" s="6"/>
    </row>
    <row r="5" spans="1:9" ht="16.5" customHeight="1" x14ac:dyDescent="0.15">
      <c r="A5" s="13" t="s">
        <v>10</v>
      </c>
      <c r="B5" s="8"/>
      <c r="C5" s="40"/>
      <c r="D5" s="40"/>
      <c r="E5" s="14" t="s">
        <v>11</v>
      </c>
      <c r="F5" s="24"/>
      <c r="G5" s="6"/>
      <c r="H5" s="25"/>
      <c r="I5" s="6"/>
    </row>
    <row r="6" spans="1:9" x14ac:dyDescent="0.15">
      <c r="A6" s="26" t="s">
        <v>12</v>
      </c>
      <c r="B6" s="27"/>
      <c r="C6" s="41"/>
      <c r="D6" s="42"/>
      <c r="E6" s="43"/>
      <c r="F6" s="43"/>
      <c r="G6" s="28"/>
      <c r="H6" s="25"/>
      <c r="I6" s="6"/>
    </row>
    <row r="7" spans="1:9" ht="14.25" customHeight="1" x14ac:dyDescent="0.15">
      <c r="A7" s="29" t="s">
        <v>13</v>
      </c>
      <c r="B7" s="29" t="s">
        <v>14</v>
      </c>
      <c r="C7" s="29" t="s">
        <v>15</v>
      </c>
      <c r="D7" s="29" t="s">
        <v>16</v>
      </c>
      <c r="E7" s="29" t="s">
        <v>17</v>
      </c>
      <c r="F7" s="29" t="s">
        <v>18</v>
      </c>
      <c r="G7" s="29" t="s">
        <v>19</v>
      </c>
      <c r="H7" s="29" t="s">
        <v>20</v>
      </c>
      <c r="I7" s="29" t="s">
        <v>21</v>
      </c>
    </row>
    <row r="8" spans="1:9" ht="35.1" customHeight="1" x14ac:dyDescent="0.15">
      <c r="A8" s="44">
        <v>1</v>
      </c>
      <c r="B8" s="60" t="s">
        <v>22</v>
      </c>
      <c r="C8" s="45" t="s">
        <v>23</v>
      </c>
      <c r="D8" s="45" t="s">
        <v>24</v>
      </c>
      <c r="E8" s="46" t="s">
        <v>25</v>
      </c>
      <c r="F8" s="46" t="s">
        <v>26</v>
      </c>
      <c r="G8" s="45" t="s">
        <v>27</v>
      </c>
      <c r="H8" s="51" t="s">
        <v>3</v>
      </c>
      <c r="I8" s="55"/>
    </row>
    <row r="9" spans="1:9" ht="35.1" customHeight="1" x14ac:dyDescent="0.15">
      <c r="A9" s="44"/>
      <c r="B9" s="61"/>
      <c r="C9" s="45"/>
      <c r="D9" s="45"/>
      <c r="E9" s="47"/>
      <c r="F9" s="47"/>
      <c r="G9" s="45"/>
      <c r="H9" s="59"/>
      <c r="I9" s="56"/>
    </row>
    <row r="10" spans="1:9" ht="35.1" customHeight="1" x14ac:dyDescent="0.15">
      <c r="A10" s="44"/>
      <c r="B10" s="61"/>
      <c r="C10" s="45"/>
      <c r="D10" s="45"/>
      <c r="E10" s="48"/>
      <c r="F10" s="48"/>
      <c r="G10" s="45"/>
      <c r="H10" s="52"/>
      <c r="I10" s="57"/>
    </row>
    <row r="11" spans="1:9" ht="35.1" customHeight="1" x14ac:dyDescent="0.15">
      <c r="A11" s="44">
        <v>2</v>
      </c>
      <c r="B11" s="61"/>
      <c r="C11" s="45" t="s">
        <v>23</v>
      </c>
      <c r="D11" s="45" t="s">
        <v>28</v>
      </c>
      <c r="E11" s="45" t="s">
        <v>29</v>
      </c>
      <c r="F11" s="46" t="s">
        <v>30</v>
      </c>
      <c r="G11" s="45" t="s">
        <v>31</v>
      </c>
      <c r="H11" s="51" t="s">
        <v>3</v>
      </c>
      <c r="I11" s="55"/>
    </row>
    <row r="12" spans="1:9" ht="35.1" customHeight="1" x14ac:dyDescent="0.15">
      <c r="A12" s="44"/>
      <c r="B12" s="61"/>
      <c r="C12" s="45"/>
      <c r="D12" s="45"/>
      <c r="E12" s="45"/>
      <c r="F12" s="47"/>
      <c r="G12" s="45"/>
      <c r="H12" s="59"/>
      <c r="I12" s="56"/>
    </row>
    <row r="13" spans="1:9" ht="35.1" customHeight="1" x14ac:dyDescent="0.15">
      <c r="A13" s="44"/>
      <c r="B13" s="61"/>
      <c r="C13" s="45"/>
      <c r="D13" s="45"/>
      <c r="E13" s="45"/>
      <c r="F13" s="48"/>
      <c r="G13" s="45"/>
      <c r="H13" s="52"/>
      <c r="I13" s="57"/>
    </row>
    <row r="14" spans="1:9" ht="35.1" customHeight="1" x14ac:dyDescent="0.15">
      <c r="A14" s="44">
        <v>3</v>
      </c>
      <c r="B14" s="61"/>
      <c r="C14" s="45" t="s">
        <v>23</v>
      </c>
      <c r="D14" s="45" t="s">
        <v>32</v>
      </c>
      <c r="E14" s="45" t="s">
        <v>29</v>
      </c>
      <c r="F14" s="46" t="s">
        <v>33</v>
      </c>
      <c r="G14" s="45" t="s">
        <v>34</v>
      </c>
      <c r="H14" s="51" t="s">
        <v>3</v>
      </c>
      <c r="I14" s="55"/>
    </row>
    <row r="15" spans="1:9" ht="63" customHeight="1" x14ac:dyDescent="0.15">
      <c r="A15" s="44"/>
      <c r="B15" s="61"/>
      <c r="C15" s="45"/>
      <c r="D15" s="45"/>
      <c r="E15" s="45"/>
      <c r="F15" s="48"/>
      <c r="G15" s="45"/>
      <c r="H15" s="52"/>
      <c r="I15" s="57"/>
    </row>
    <row r="16" spans="1:9" ht="35.1" customHeight="1" x14ac:dyDescent="0.15">
      <c r="A16" s="44">
        <v>4</v>
      </c>
      <c r="B16" s="61"/>
      <c r="C16" s="60" t="s">
        <v>35</v>
      </c>
      <c r="D16" s="49" t="s">
        <v>93</v>
      </c>
      <c r="E16" s="45" t="s">
        <v>36</v>
      </c>
      <c r="F16" s="46" t="s">
        <v>37</v>
      </c>
      <c r="G16" s="45" t="s">
        <v>38</v>
      </c>
      <c r="H16" s="51" t="s">
        <v>3</v>
      </c>
      <c r="I16" s="53"/>
    </row>
    <row r="17" spans="1:9" ht="35.1" customHeight="1" x14ac:dyDescent="0.15">
      <c r="A17" s="44"/>
      <c r="B17" s="61"/>
      <c r="C17" s="61"/>
      <c r="D17" s="45"/>
      <c r="E17" s="45"/>
      <c r="F17" s="47"/>
      <c r="G17" s="45"/>
      <c r="H17" s="59"/>
      <c r="I17" s="58"/>
    </row>
    <row r="18" spans="1:9" ht="35.1" customHeight="1" x14ac:dyDescent="0.15">
      <c r="A18" s="44"/>
      <c r="B18" s="61"/>
      <c r="C18" s="61"/>
      <c r="D18" s="45"/>
      <c r="E18" s="45"/>
      <c r="F18" s="47"/>
      <c r="G18" s="45"/>
      <c r="H18" s="59"/>
      <c r="I18" s="58"/>
    </row>
    <row r="19" spans="1:9" ht="35.1" customHeight="1" x14ac:dyDescent="0.15">
      <c r="A19" s="44"/>
      <c r="B19" s="61"/>
      <c r="C19" s="61"/>
      <c r="D19" s="45"/>
      <c r="E19" s="45"/>
      <c r="F19" s="48"/>
      <c r="G19" s="45"/>
      <c r="H19" s="52"/>
      <c r="I19" s="54"/>
    </row>
    <row r="20" spans="1:9" s="3" customFormat="1" ht="74.25" customHeight="1" x14ac:dyDescent="0.15">
      <c r="A20" s="36">
        <v>5</v>
      </c>
      <c r="B20" s="61"/>
      <c r="C20" s="61"/>
      <c r="D20" s="37" t="s">
        <v>94</v>
      </c>
      <c r="E20" s="60" t="s">
        <v>39</v>
      </c>
      <c r="F20" s="64" t="s">
        <v>89</v>
      </c>
      <c r="G20" s="37" t="s">
        <v>90</v>
      </c>
      <c r="H20" s="32" t="s">
        <v>3</v>
      </c>
      <c r="I20" s="63"/>
    </row>
    <row r="21" spans="1:9" ht="80.25" customHeight="1" x14ac:dyDescent="0.15">
      <c r="A21" s="36">
        <v>6</v>
      </c>
      <c r="B21" s="61"/>
      <c r="C21" s="61"/>
      <c r="D21" s="37" t="s">
        <v>95</v>
      </c>
      <c r="E21" s="61"/>
      <c r="F21" s="64" t="s">
        <v>88</v>
      </c>
      <c r="G21" s="37" t="s">
        <v>92</v>
      </c>
      <c r="H21" s="32" t="s">
        <v>3</v>
      </c>
      <c r="I21" s="31"/>
    </row>
    <row r="22" spans="1:9" ht="107.1" customHeight="1" x14ac:dyDescent="0.15">
      <c r="A22" s="36">
        <v>7</v>
      </c>
      <c r="B22" s="61"/>
      <c r="C22" s="62"/>
      <c r="D22" s="37" t="s">
        <v>96</v>
      </c>
      <c r="E22" s="62"/>
      <c r="F22" s="37" t="s">
        <v>87</v>
      </c>
      <c r="G22" s="37" t="s">
        <v>91</v>
      </c>
      <c r="H22" s="32" t="s">
        <v>3</v>
      </c>
      <c r="I22" s="33"/>
    </row>
    <row r="23" spans="1:9" ht="35.1" customHeight="1" x14ac:dyDescent="0.15">
      <c r="A23" s="44">
        <v>8</v>
      </c>
      <c r="B23" s="61"/>
      <c r="C23" s="45" t="s">
        <v>40</v>
      </c>
      <c r="D23" s="45" t="s">
        <v>41</v>
      </c>
      <c r="E23" s="45" t="s">
        <v>42</v>
      </c>
      <c r="F23" s="46" t="s">
        <v>43</v>
      </c>
      <c r="G23" s="45" t="s">
        <v>44</v>
      </c>
      <c r="H23" s="51" t="s">
        <v>3</v>
      </c>
      <c r="I23" s="53"/>
    </row>
    <row r="24" spans="1:9" ht="35.1" customHeight="1" x14ac:dyDescent="0.15">
      <c r="A24" s="44"/>
      <c r="B24" s="61"/>
      <c r="C24" s="45"/>
      <c r="D24" s="45"/>
      <c r="E24" s="45"/>
      <c r="F24" s="47"/>
      <c r="G24" s="45"/>
      <c r="H24" s="59"/>
      <c r="I24" s="58"/>
    </row>
    <row r="25" spans="1:9" ht="35.1" customHeight="1" x14ac:dyDescent="0.15">
      <c r="A25" s="44"/>
      <c r="B25" s="61"/>
      <c r="C25" s="45"/>
      <c r="D25" s="45"/>
      <c r="E25" s="45"/>
      <c r="F25" s="47"/>
      <c r="G25" s="45"/>
      <c r="H25" s="59"/>
      <c r="I25" s="58"/>
    </row>
    <row r="26" spans="1:9" ht="35.1" customHeight="1" x14ac:dyDescent="0.15">
      <c r="A26" s="44"/>
      <c r="B26" s="61"/>
      <c r="C26" s="45"/>
      <c r="D26" s="45"/>
      <c r="E26" s="45"/>
      <c r="F26" s="47"/>
      <c r="G26" s="45"/>
      <c r="H26" s="59"/>
      <c r="I26" s="58"/>
    </row>
    <row r="27" spans="1:9" ht="35.1" customHeight="1" x14ac:dyDescent="0.15">
      <c r="A27" s="44"/>
      <c r="B27" s="61"/>
      <c r="C27" s="45"/>
      <c r="D27" s="45"/>
      <c r="E27" s="45"/>
      <c r="F27" s="47"/>
      <c r="G27" s="45"/>
      <c r="H27" s="59"/>
      <c r="I27" s="58"/>
    </row>
    <row r="28" spans="1:9" ht="35.1" customHeight="1" x14ac:dyDescent="0.15">
      <c r="A28" s="44">
        <v>9</v>
      </c>
      <c r="B28" s="61"/>
      <c r="C28" s="45" t="s">
        <v>40</v>
      </c>
      <c r="D28" s="45" t="s">
        <v>45</v>
      </c>
      <c r="E28" s="45" t="s">
        <v>46</v>
      </c>
      <c r="F28" s="46" t="s">
        <v>47</v>
      </c>
      <c r="G28" s="45" t="s">
        <v>48</v>
      </c>
      <c r="H28" s="51" t="s">
        <v>3</v>
      </c>
      <c r="I28" s="53"/>
    </row>
    <row r="29" spans="1:9" ht="35.1" customHeight="1" x14ac:dyDescent="0.15">
      <c r="A29" s="44"/>
      <c r="B29" s="61"/>
      <c r="C29" s="45"/>
      <c r="D29" s="45"/>
      <c r="E29" s="45"/>
      <c r="F29" s="47"/>
      <c r="G29" s="45"/>
      <c r="H29" s="59"/>
      <c r="I29" s="58"/>
    </row>
    <row r="30" spans="1:9" ht="35.1" customHeight="1" x14ac:dyDescent="0.15">
      <c r="A30" s="44"/>
      <c r="B30" s="61"/>
      <c r="C30" s="45"/>
      <c r="D30" s="45"/>
      <c r="E30" s="45"/>
      <c r="F30" s="48"/>
      <c r="G30" s="45"/>
      <c r="H30" s="52"/>
      <c r="I30" s="54"/>
    </row>
    <row r="31" spans="1:9" ht="35.1" customHeight="1" x14ac:dyDescent="0.15">
      <c r="A31" s="44">
        <v>10</v>
      </c>
      <c r="B31" s="61"/>
      <c r="C31" s="45" t="s">
        <v>40</v>
      </c>
      <c r="D31" s="45" t="s">
        <v>49</v>
      </c>
      <c r="E31" s="45" t="s">
        <v>46</v>
      </c>
      <c r="F31" s="46" t="s">
        <v>50</v>
      </c>
      <c r="G31" s="45" t="s">
        <v>51</v>
      </c>
      <c r="H31" s="51" t="s">
        <v>3</v>
      </c>
      <c r="I31" s="53"/>
    </row>
    <row r="32" spans="1:9" ht="35.1" customHeight="1" x14ac:dyDescent="0.15">
      <c r="A32" s="44"/>
      <c r="B32" s="61"/>
      <c r="C32" s="45"/>
      <c r="D32" s="45"/>
      <c r="E32" s="45"/>
      <c r="F32" s="48"/>
      <c r="G32" s="45"/>
      <c r="H32" s="52"/>
      <c r="I32" s="54"/>
    </row>
    <row r="33" spans="1:9" ht="35.1" customHeight="1" x14ac:dyDescent="0.15">
      <c r="A33" s="44">
        <v>11</v>
      </c>
      <c r="B33" s="61"/>
      <c r="C33" s="45" t="s">
        <v>52</v>
      </c>
      <c r="D33" s="45" t="s">
        <v>53</v>
      </c>
      <c r="E33" s="45" t="s">
        <v>54</v>
      </c>
      <c r="F33" s="46" t="s">
        <v>55</v>
      </c>
      <c r="G33" s="45" t="s">
        <v>56</v>
      </c>
      <c r="H33" s="51" t="s">
        <v>3</v>
      </c>
      <c r="I33" s="53"/>
    </row>
    <row r="34" spans="1:9" ht="35.1" customHeight="1" x14ac:dyDescent="0.15">
      <c r="A34" s="44"/>
      <c r="B34" s="61"/>
      <c r="C34" s="45"/>
      <c r="D34" s="45"/>
      <c r="E34" s="45"/>
      <c r="F34" s="48"/>
      <c r="G34" s="45"/>
      <c r="H34" s="52"/>
      <c r="I34" s="54"/>
    </row>
    <row r="35" spans="1:9" ht="35.1" customHeight="1" x14ac:dyDescent="0.15">
      <c r="A35" s="44">
        <v>12</v>
      </c>
      <c r="B35" s="61"/>
      <c r="C35" s="45" t="s">
        <v>57</v>
      </c>
      <c r="D35" s="45" t="s">
        <v>58</v>
      </c>
      <c r="E35" s="45" t="s">
        <v>59</v>
      </c>
      <c r="F35" s="46" t="s">
        <v>60</v>
      </c>
      <c r="G35" s="45" t="s">
        <v>61</v>
      </c>
      <c r="H35" s="51" t="s">
        <v>3</v>
      </c>
      <c r="I35" s="53"/>
    </row>
    <row r="36" spans="1:9" ht="35.1" customHeight="1" x14ac:dyDescent="0.15">
      <c r="A36" s="44"/>
      <c r="B36" s="61"/>
      <c r="C36" s="45"/>
      <c r="D36" s="45"/>
      <c r="E36" s="45"/>
      <c r="F36" s="48"/>
      <c r="G36" s="45"/>
      <c r="H36" s="52"/>
      <c r="I36" s="54"/>
    </row>
    <row r="37" spans="1:9" ht="77.099999999999994" customHeight="1" x14ac:dyDescent="0.15">
      <c r="A37" s="36">
        <v>13</v>
      </c>
      <c r="B37" s="61"/>
      <c r="C37" s="30" t="s">
        <v>62</v>
      </c>
      <c r="D37" s="30" t="s">
        <v>63</v>
      </c>
      <c r="E37" s="30" t="s">
        <v>64</v>
      </c>
      <c r="F37" s="30" t="s">
        <v>65</v>
      </c>
      <c r="G37" s="30" t="s">
        <v>66</v>
      </c>
      <c r="H37" s="32" t="s">
        <v>3</v>
      </c>
      <c r="I37" s="33"/>
    </row>
    <row r="38" spans="1:9" ht="35.1" customHeight="1" x14ac:dyDescent="0.15">
      <c r="A38" s="44">
        <v>14</v>
      </c>
      <c r="B38" s="61"/>
      <c r="C38" s="45" t="s">
        <v>67</v>
      </c>
      <c r="D38" s="45" t="s">
        <v>68</v>
      </c>
      <c r="E38" s="45" t="s">
        <v>69</v>
      </c>
      <c r="F38" s="46" t="s">
        <v>70</v>
      </c>
      <c r="G38" s="45" t="s">
        <v>71</v>
      </c>
      <c r="H38" s="51" t="s">
        <v>3</v>
      </c>
      <c r="I38" s="53"/>
    </row>
    <row r="39" spans="1:9" ht="35.1" customHeight="1" x14ac:dyDescent="0.15">
      <c r="A39" s="44"/>
      <c r="B39" s="61"/>
      <c r="C39" s="45"/>
      <c r="D39" s="45"/>
      <c r="E39" s="45"/>
      <c r="F39" s="48"/>
      <c r="G39" s="45"/>
      <c r="H39" s="52"/>
      <c r="I39" s="54"/>
    </row>
    <row r="40" spans="1:9" ht="77.099999999999994" customHeight="1" x14ac:dyDescent="0.15">
      <c r="A40" s="36">
        <v>15</v>
      </c>
      <c r="B40" s="61"/>
      <c r="C40" s="30" t="s">
        <v>67</v>
      </c>
      <c r="D40" s="30" t="s">
        <v>72</v>
      </c>
      <c r="E40" s="30" t="s">
        <v>73</v>
      </c>
      <c r="F40" s="30" t="s">
        <v>74</v>
      </c>
      <c r="G40" s="30" t="s">
        <v>75</v>
      </c>
      <c r="H40" s="32" t="s">
        <v>3</v>
      </c>
      <c r="I40" s="33"/>
    </row>
    <row r="41" spans="1:9" ht="35.1" customHeight="1" x14ac:dyDescent="0.15">
      <c r="A41" s="44">
        <v>16</v>
      </c>
      <c r="B41" s="61"/>
      <c r="C41" s="45" t="s">
        <v>76</v>
      </c>
      <c r="D41" s="49" t="s">
        <v>85</v>
      </c>
      <c r="E41" s="49" t="s">
        <v>82</v>
      </c>
      <c r="F41" s="50" t="s">
        <v>83</v>
      </c>
      <c r="G41" s="49" t="s">
        <v>84</v>
      </c>
      <c r="H41" s="51" t="s">
        <v>3</v>
      </c>
      <c r="I41" s="53"/>
    </row>
    <row r="42" spans="1:9" ht="35.1" customHeight="1" x14ac:dyDescent="0.15">
      <c r="A42" s="44"/>
      <c r="B42" s="61"/>
      <c r="C42" s="45"/>
      <c r="D42" s="45"/>
      <c r="E42" s="45"/>
      <c r="F42" s="48"/>
      <c r="G42" s="45"/>
      <c r="H42" s="52"/>
      <c r="I42" s="54"/>
    </row>
    <row r="43" spans="1:9" ht="35.1" customHeight="1" x14ac:dyDescent="0.15">
      <c r="A43" s="44">
        <v>17</v>
      </c>
      <c r="B43" s="61"/>
      <c r="C43" s="45" t="s">
        <v>77</v>
      </c>
      <c r="D43" s="45" t="s">
        <v>78</v>
      </c>
      <c r="E43" s="46" t="s">
        <v>79</v>
      </c>
      <c r="F43" s="46" t="s">
        <v>80</v>
      </c>
      <c r="G43" s="45" t="s">
        <v>81</v>
      </c>
      <c r="H43" s="51" t="s">
        <v>3</v>
      </c>
      <c r="I43" s="53"/>
    </row>
    <row r="44" spans="1:9" ht="35.1" customHeight="1" x14ac:dyDescent="0.15">
      <c r="A44" s="44"/>
      <c r="B44" s="62"/>
      <c r="C44" s="45"/>
      <c r="D44" s="45"/>
      <c r="E44" s="48"/>
      <c r="F44" s="48"/>
      <c r="G44" s="45"/>
      <c r="H44" s="52"/>
      <c r="I44" s="54"/>
    </row>
    <row r="45" spans="1:9" ht="66" customHeight="1" x14ac:dyDescent="0.15">
      <c r="A45" s="34"/>
      <c r="B45" s="34"/>
      <c r="C45" s="31"/>
      <c r="D45" s="31"/>
      <c r="E45" s="31"/>
      <c r="F45" s="31"/>
      <c r="G45" s="31"/>
      <c r="H45" s="32"/>
      <c r="I45" s="33"/>
    </row>
    <row r="46" spans="1:9" ht="35.1" customHeight="1" x14ac:dyDescent="0.15">
      <c r="A46" s="35"/>
      <c r="B46" s="34"/>
      <c r="C46" s="31"/>
      <c r="D46" s="31"/>
      <c r="E46" s="31"/>
      <c r="F46" s="31"/>
      <c r="G46" s="31"/>
      <c r="H46" s="32"/>
      <c r="I46" s="33"/>
    </row>
    <row r="47" spans="1:9" x14ac:dyDescent="0.15">
      <c r="A47" s="35"/>
      <c r="B47" s="34"/>
      <c r="C47" s="31"/>
      <c r="D47" s="31"/>
      <c r="E47" s="31"/>
      <c r="F47" s="31"/>
      <c r="G47" s="31"/>
      <c r="H47" s="32"/>
      <c r="I47" s="33"/>
    </row>
    <row r="48" spans="1:9" x14ac:dyDescent="0.15">
      <c r="A48" s="35"/>
      <c r="B48" s="34"/>
      <c r="C48" s="31"/>
      <c r="D48" s="31"/>
      <c r="E48" s="31"/>
      <c r="F48" s="31"/>
      <c r="G48" s="31"/>
      <c r="H48" s="32"/>
      <c r="I48" s="33"/>
    </row>
    <row r="49" spans="1:9" x14ac:dyDescent="0.15">
      <c r="A49" s="35"/>
      <c r="B49" s="34"/>
      <c r="C49" s="31"/>
      <c r="D49" s="31"/>
      <c r="E49" s="31"/>
      <c r="F49" s="31"/>
      <c r="G49" s="31"/>
      <c r="H49" s="32"/>
      <c r="I49" s="33"/>
    </row>
    <row r="50" spans="1:9" x14ac:dyDescent="0.15">
      <c r="A50" s="35"/>
      <c r="B50" s="34"/>
      <c r="C50" s="31"/>
      <c r="D50" s="31"/>
      <c r="E50" s="31"/>
      <c r="F50" s="31"/>
      <c r="G50" s="31"/>
      <c r="H50" s="32"/>
      <c r="I50" s="33"/>
    </row>
    <row r="51" spans="1:9" x14ac:dyDescent="0.15">
      <c r="A51" s="35"/>
      <c r="B51" s="34"/>
      <c r="C51" s="31"/>
      <c r="D51" s="31"/>
      <c r="E51" s="31"/>
      <c r="F51" s="31"/>
      <c r="G51" s="31"/>
      <c r="H51" s="32"/>
      <c r="I51" s="33"/>
    </row>
    <row r="52" spans="1:9" x14ac:dyDescent="0.15">
      <c r="A52" s="35"/>
      <c r="B52" s="34"/>
      <c r="C52" s="31"/>
      <c r="D52" s="31"/>
      <c r="E52" s="31"/>
      <c r="F52" s="31"/>
      <c r="G52" s="31"/>
      <c r="H52" s="32"/>
      <c r="I52" s="33"/>
    </row>
    <row r="53" spans="1:9" x14ac:dyDescent="0.15">
      <c r="A53" s="35"/>
      <c r="B53" s="34"/>
      <c r="C53" s="31"/>
      <c r="D53" s="31"/>
      <c r="E53" s="31"/>
      <c r="F53" s="31"/>
      <c r="G53" s="31"/>
      <c r="H53" s="32"/>
      <c r="I53" s="33"/>
    </row>
    <row r="54" spans="1:9" x14ac:dyDescent="0.15">
      <c r="A54" s="35"/>
      <c r="B54" s="34"/>
      <c r="C54" s="31"/>
      <c r="D54" s="31"/>
      <c r="E54" s="31"/>
      <c r="F54" s="31"/>
      <c r="G54" s="31"/>
      <c r="H54" s="32"/>
      <c r="I54" s="33"/>
    </row>
    <row r="55" spans="1:9" x14ac:dyDescent="0.15">
      <c r="A55" s="35"/>
      <c r="B55" s="34"/>
      <c r="C55" s="31"/>
      <c r="D55" s="31"/>
      <c r="E55" s="31"/>
      <c r="F55" s="31"/>
      <c r="G55" s="31"/>
      <c r="H55" s="32"/>
      <c r="I55" s="33"/>
    </row>
    <row r="56" spans="1:9" x14ac:dyDescent="0.15">
      <c r="A56" s="35"/>
      <c r="B56" s="34"/>
      <c r="C56" s="31"/>
      <c r="D56" s="31"/>
      <c r="E56" s="31"/>
      <c r="F56" s="31"/>
      <c r="G56" s="31"/>
      <c r="H56" s="32"/>
      <c r="I56" s="33"/>
    </row>
    <row r="57" spans="1:9" x14ac:dyDescent="0.15">
      <c r="A57" s="35"/>
      <c r="B57" s="34"/>
      <c r="C57" s="31"/>
      <c r="D57" s="31"/>
      <c r="E57" s="31"/>
      <c r="F57" s="31"/>
      <c r="G57" s="31"/>
      <c r="H57" s="32"/>
      <c r="I57" s="33"/>
    </row>
    <row r="58" spans="1:9" x14ac:dyDescent="0.15">
      <c r="A58" s="35"/>
      <c r="B58" s="34"/>
      <c r="C58" s="31"/>
      <c r="D58" s="31"/>
      <c r="E58" s="31"/>
      <c r="F58" s="31"/>
      <c r="G58" s="31"/>
      <c r="H58" s="32"/>
      <c r="I58" s="33"/>
    </row>
    <row r="59" spans="1:9" x14ac:dyDescent="0.15">
      <c r="A59" s="35"/>
      <c r="B59" s="34"/>
      <c r="C59" s="31"/>
      <c r="D59" s="31"/>
      <c r="E59" s="31"/>
      <c r="F59" s="31"/>
      <c r="G59" s="31"/>
      <c r="H59" s="32"/>
      <c r="I59" s="33"/>
    </row>
    <row r="60" spans="1:9" x14ac:dyDescent="0.15">
      <c r="A60" s="35"/>
      <c r="B60" s="34"/>
      <c r="C60" s="31"/>
      <c r="D60" s="31"/>
      <c r="E60" s="31"/>
      <c r="F60" s="31"/>
      <c r="G60" s="31"/>
      <c r="H60" s="32"/>
      <c r="I60" s="33"/>
    </row>
    <row r="61" spans="1:9" x14ac:dyDescent="0.15">
      <c r="A61" s="35"/>
      <c r="B61" s="34"/>
      <c r="C61" s="31"/>
      <c r="D61" s="31"/>
      <c r="E61" s="31"/>
      <c r="F61" s="31"/>
      <c r="G61" s="31"/>
      <c r="H61" s="32"/>
      <c r="I61" s="33"/>
    </row>
  </sheetData>
  <mergeCells count="104">
    <mergeCell ref="I38:I39"/>
    <mergeCell ref="I41:I42"/>
    <mergeCell ref="I43:I44"/>
    <mergeCell ref="B8:B44"/>
    <mergeCell ref="I8:I10"/>
    <mergeCell ref="I11:I13"/>
    <mergeCell ref="I14:I15"/>
    <mergeCell ref="I16:I19"/>
    <mergeCell ref="I23:I27"/>
    <mergeCell ref="I28:I30"/>
    <mergeCell ref="I31:I32"/>
    <mergeCell ref="I33:I34"/>
    <mergeCell ref="I35:I36"/>
    <mergeCell ref="G38:G39"/>
    <mergeCell ref="G41:G42"/>
    <mergeCell ref="G43:G44"/>
    <mergeCell ref="H8:H10"/>
    <mergeCell ref="H11:H13"/>
    <mergeCell ref="H14:H15"/>
    <mergeCell ref="H16:H19"/>
    <mergeCell ref="H23:H27"/>
    <mergeCell ref="H28:H30"/>
    <mergeCell ref="H31:H32"/>
    <mergeCell ref="H33:H34"/>
    <mergeCell ref="H35:H36"/>
    <mergeCell ref="H38:H39"/>
    <mergeCell ref="H41:H42"/>
    <mergeCell ref="H43:H44"/>
    <mergeCell ref="G8:G10"/>
    <mergeCell ref="G11:G13"/>
    <mergeCell ref="G14:G15"/>
    <mergeCell ref="G16:G19"/>
    <mergeCell ref="G23:G27"/>
    <mergeCell ref="G28:G30"/>
    <mergeCell ref="G31:G32"/>
    <mergeCell ref="G33:G34"/>
    <mergeCell ref="G35:G36"/>
    <mergeCell ref="E43:E44"/>
    <mergeCell ref="F8:F10"/>
    <mergeCell ref="F11:F13"/>
    <mergeCell ref="F14:F15"/>
    <mergeCell ref="F16:F19"/>
    <mergeCell ref="F23:F27"/>
    <mergeCell ref="F28:F30"/>
    <mergeCell ref="F31:F32"/>
    <mergeCell ref="F33:F34"/>
    <mergeCell ref="F35:F36"/>
    <mergeCell ref="F38:F39"/>
    <mergeCell ref="F41:F42"/>
    <mergeCell ref="F43:F44"/>
    <mergeCell ref="E16:E19"/>
    <mergeCell ref="E23:E27"/>
    <mergeCell ref="E28:E30"/>
    <mergeCell ref="E31:E32"/>
    <mergeCell ref="E33:E34"/>
    <mergeCell ref="E35:E36"/>
    <mergeCell ref="E38:E39"/>
    <mergeCell ref="E41:E42"/>
    <mergeCell ref="E20:E22"/>
    <mergeCell ref="C43:C44"/>
    <mergeCell ref="D8:D10"/>
    <mergeCell ref="D11:D13"/>
    <mergeCell ref="D14:D15"/>
    <mergeCell ref="D16:D19"/>
    <mergeCell ref="D23:D27"/>
    <mergeCell ref="D28:D30"/>
    <mergeCell ref="D31:D32"/>
    <mergeCell ref="D33:D34"/>
    <mergeCell ref="D35:D36"/>
    <mergeCell ref="D38:D39"/>
    <mergeCell ref="D41:D42"/>
    <mergeCell ref="D43:D44"/>
    <mergeCell ref="C23:C27"/>
    <mergeCell ref="C28:C30"/>
    <mergeCell ref="C31:C32"/>
    <mergeCell ref="C33:C34"/>
    <mergeCell ref="C35:C36"/>
    <mergeCell ref="C38:C39"/>
    <mergeCell ref="C41:C42"/>
    <mergeCell ref="C16:C22"/>
    <mergeCell ref="A43:A44"/>
    <mergeCell ref="A16:A19"/>
    <mergeCell ref="A23:A27"/>
    <mergeCell ref="A28:A30"/>
    <mergeCell ref="A31:A32"/>
    <mergeCell ref="A33:A34"/>
    <mergeCell ref="A35:A36"/>
    <mergeCell ref="A38:A39"/>
    <mergeCell ref="A41:A42"/>
    <mergeCell ref="A1:F1"/>
    <mergeCell ref="C2:D2"/>
    <mergeCell ref="C3:D3"/>
    <mergeCell ref="C4:D4"/>
    <mergeCell ref="C5:D5"/>
    <mergeCell ref="C6:F6"/>
    <mergeCell ref="A8:A10"/>
    <mergeCell ref="A11:A13"/>
    <mergeCell ref="A14:A15"/>
    <mergeCell ref="C8:C10"/>
    <mergeCell ref="C11:C13"/>
    <mergeCell ref="C14:C15"/>
    <mergeCell ref="E8:E10"/>
    <mergeCell ref="E11:E13"/>
    <mergeCell ref="E14:E15"/>
  </mergeCells>
  <phoneticPr fontId="12" type="noConversion"/>
  <conditionalFormatting sqref="H8 H45:H61">
    <cfRule type="cellIs" dxfId="35" priority="160" stopIfTrue="1" operator="equal">
      <formula>"N/A"</formula>
    </cfRule>
    <cfRule type="cellIs" dxfId="34" priority="161" stopIfTrue="1" operator="equal">
      <formula>"Fail"</formula>
    </cfRule>
    <cfRule type="cellIs" dxfId="33" priority="162" stopIfTrue="1" operator="equal">
      <formula>"Pass"</formula>
    </cfRule>
  </conditionalFormatting>
  <conditionalFormatting sqref="H11">
    <cfRule type="cellIs" dxfId="32" priority="163" stopIfTrue="1" operator="equal">
      <formula>"N/A"</formula>
    </cfRule>
    <cfRule type="cellIs" dxfId="31" priority="164" stopIfTrue="1" operator="equal">
      <formula>"Fail"</formula>
    </cfRule>
    <cfRule type="cellIs" dxfId="30" priority="165" stopIfTrue="1" operator="equal">
      <formula>"Pass"</formula>
    </cfRule>
  </conditionalFormatting>
  <conditionalFormatting sqref="H14">
    <cfRule type="cellIs" dxfId="29" priority="187" stopIfTrue="1" operator="equal">
      <formula>"N/A"</formula>
    </cfRule>
    <cfRule type="cellIs" dxfId="28" priority="188" stopIfTrue="1" operator="equal">
      <formula>"Fail"</formula>
    </cfRule>
    <cfRule type="cellIs" dxfId="27" priority="189" stopIfTrue="1" operator="equal">
      <formula>"Pass"</formula>
    </cfRule>
  </conditionalFormatting>
  <conditionalFormatting sqref="H16">
    <cfRule type="cellIs" dxfId="26" priority="172" stopIfTrue="1" operator="equal">
      <formula>"N/A"</formula>
    </cfRule>
    <cfRule type="cellIs" dxfId="25" priority="173" stopIfTrue="1" operator="equal">
      <formula>"Fail"</formula>
    </cfRule>
    <cfRule type="cellIs" dxfId="24" priority="174" stopIfTrue="1" operator="equal">
      <formula>"Pass"</formula>
    </cfRule>
  </conditionalFormatting>
  <conditionalFormatting sqref="H20:H23">
    <cfRule type="cellIs" dxfId="23" priority="114" stopIfTrue="1" operator="equal">
      <formula>"N/A"</formula>
    </cfRule>
    <cfRule type="cellIs" dxfId="22" priority="134" stopIfTrue="1" operator="equal">
      <formula>"Fail"</formula>
    </cfRule>
    <cfRule type="cellIs" dxfId="21" priority="154" stopIfTrue="1" operator="equal">
      <formula>"Pass"</formula>
    </cfRule>
  </conditionalFormatting>
  <conditionalFormatting sqref="H28">
    <cfRule type="cellIs" dxfId="20" priority="106" stopIfTrue="1" operator="equal">
      <formula>"N/A"</formula>
    </cfRule>
    <cfRule type="cellIs" dxfId="19" priority="126" stopIfTrue="1" operator="equal">
      <formula>"Fail"</formula>
    </cfRule>
    <cfRule type="cellIs" dxfId="18" priority="146" stopIfTrue="1" operator="equal">
      <formula>"Pass"</formula>
    </cfRule>
  </conditionalFormatting>
  <conditionalFormatting sqref="H31">
    <cfRule type="cellIs" dxfId="17" priority="103" stopIfTrue="1" operator="equal">
      <formula>"N/A"</formula>
    </cfRule>
    <cfRule type="cellIs" dxfId="16" priority="123" stopIfTrue="1" operator="equal">
      <formula>"Fail"</formula>
    </cfRule>
    <cfRule type="cellIs" dxfId="15" priority="143" stopIfTrue="1" operator="equal">
      <formula>"Pass"</formula>
    </cfRule>
  </conditionalFormatting>
  <conditionalFormatting sqref="H33">
    <cfRule type="cellIs" dxfId="14" priority="101" stopIfTrue="1" operator="equal">
      <formula>"N/A"</formula>
    </cfRule>
    <cfRule type="cellIs" dxfId="13" priority="121" stopIfTrue="1" operator="equal">
      <formula>"Fail"</formula>
    </cfRule>
    <cfRule type="cellIs" dxfId="12" priority="141" stopIfTrue="1" operator="equal">
      <formula>"Pass"</formula>
    </cfRule>
  </conditionalFormatting>
  <conditionalFormatting sqref="H35">
    <cfRule type="cellIs" dxfId="11" priority="33" stopIfTrue="1" operator="equal">
      <formula>"N/A"</formula>
    </cfRule>
    <cfRule type="cellIs" dxfId="10" priority="66" stopIfTrue="1" operator="equal">
      <formula>"Fail"</formula>
    </cfRule>
    <cfRule type="cellIs" dxfId="9" priority="99" stopIfTrue="1" operator="equal">
      <formula>"Pass"</formula>
    </cfRule>
  </conditionalFormatting>
  <conditionalFormatting sqref="H37:H38">
    <cfRule type="cellIs" dxfId="8" priority="30" stopIfTrue="1" operator="equal">
      <formula>"N/A"</formula>
    </cfRule>
    <cfRule type="cellIs" dxfId="7" priority="63" stopIfTrue="1" operator="equal">
      <formula>"Fail"</formula>
    </cfRule>
    <cfRule type="cellIs" dxfId="6" priority="96" stopIfTrue="1" operator="equal">
      <formula>"Pass"</formula>
    </cfRule>
  </conditionalFormatting>
  <conditionalFormatting sqref="H40:H41">
    <cfRule type="cellIs" dxfId="5" priority="27" stopIfTrue="1" operator="equal">
      <formula>"N/A"</formula>
    </cfRule>
    <cfRule type="cellIs" dxfId="4" priority="60" stopIfTrue="1" operator="equal">
      <formula>"Fail"</formula>
    </cfRule>
    <cfRule type="cellIs" dxfId="3" priority="93" stopIfTrue="1" operator="equal">
      <formula>"Pass"</formula>
    </cfRule>
  </conditionalFormatting>
  <conditionalFormatting sqref="H43">
    <cfRule type="cellIs" dxfId="2" priority="23" stopIfTrue="1" operator="equal">
      <formula>"N/A"</formula>
    </cfRule>
    <cfRule type="cellIs" dxfId="1" priority="56" stopIfTrue="1" operator="equal">
      <formula>"Fail"</formula>
    </cfRule>
    <cfRule type="cellIs" dxfId="0" priority="89" stopIfTrue="1" operator="equal">
      <formula>"Pass"</formula>
    </cfRule>
  </conditionalFormatting>
  <dataValidations count="1">
    <dataValidation type="list" allowBlank="1" showInputMessage="1" showErrorMessage="1" sqref="H8:H61" xr:uid="{00000000-0002-0000-0000-000000000000}">
      <formula1>$G$2:$G$4</formula1>
    </dataValidation>
  </dataValidation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自动化短信营销功能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tdc Tandc</cp:lastModifiedBy>
  <dcterms:created xsi:type="dcterms:W3CDTF">2022-02-14T09:35:00Z</dcterms:created>
  <dcterms:modified xsi:type="dcterms:W3CDTF">2026-03-21T12:02:32Z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