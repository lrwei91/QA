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/>
  <xr:revisionPtr revIDLastSave="1" documentId="11_732BA503DEE1375609730C7A2F1D45EB090BBE03" xr6:coauthVersionLast="47" xr6:coauthVersionMax="47" xr10:uidLastSave="{CD487F1F-9DF8-4C00-9D62-C268C446C2A7}"/>
  <bookViews>
    <workbookView xWindow="0" yWindow="0" windowWidth="27945" windowHeight="12375" xr2:uid="{00000000-000D-0000-FFFF-FFFF00000000}"/>
  </bookViews>
  <sheets>
    <sheet name=" 邮件管理 - 发送记录优化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/>
</calcChain>
</file>

<file path=xl/sharedStrings.xml><?xml version="1.0" encoding="utf-8"?>
<sst xmlns="http://schemas.openxmlformats.org/spreadsheetml/2006/main" count="80" uniqueCount="69">
  <si>
    <t xml:space="preserve"> 邮件管理 - 发送记录优化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</si>
  <si>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</si>
  <si>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</si>
  <si>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</si>
  <si>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</si>
  <si>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</si>
  <si>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</si>
  <si>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</si>
  <si>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</si>
  <si>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</si>
  <si>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</si>
  <si>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</si>
  <si>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</si>
  <si>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</si>
  <si>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</si>
  <si>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</si>
  <si>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</si>
  <si>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</si>
  <si>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</si>
  <si>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</si>
  <si>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</si>
  <si>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</si>
  <si>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</si>
  <si>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 xml:space="preserve">账服
</t>
  </si>
  <si>
    <t>发送记录</t>
  </si>
  <si>
    <t>新增字段显示</t>
  </si>
  <si>
    <t>1. 管理员登录账服
2. 拥有邮件管理权限</t>
  </si>
  <si>
    <t>1. 进入【邮件管理】-【发送记录】-【任务发送记录】页面</t>
  </si>
  <si>
    <t>在列表表头中看到新增字段：总发送成功人数、总登录人数、总充值人数、总登录率、总付费率、总发送成本、总ROI</t>
  </si>
  <si>
    <t>总发送成功人数统计（跨任务去重）</t>
  </si>
  <si>
    <t>1. 存在任务A和任务B
2. 任务A发送成功给用户U1
3. 任务B发送成功给用户U1
4. 筛选条件包含A和B</t>
  </si>
  <si>
    <t>1. 查询包含任务A和任务B的记录
2. 查看“总发送成功人数”字段</t>
  </si>
  <si>
    <t>“总发送成功人数”显示为1</t>
  </si>
  <si>
    <t>总登录人数统计（跨任务去重）</t>
  </si>
  <si>
    <t>1. 任务A发送成功的用户U1登录了
2. 任务B发送成功的用户U1登录了
3. 筛选条件包含A和B</t>
  </si>
  <si>
    <t>1. 查询包含任务A和B的记录
2. 查看“总登录人数”字段</t>
  </si>
  <si>
    <t>“总登录人数”显示为1</t>
  </si>
  <si>
    <t>总充值人数统计（跨任务去重）</t>
  </si>
  <si>
    <t>1. 任务A发送成功的用户U1充值了
2. 任务B发送成功的用户U1充值了
3. 筛选条件包含A和B</t>
  </si>
  <si>
    <t>1. 查询包含任务A和B的记录
2. 查看“总充值人数”字段</t>
  </si>
  <si>
    <t>“总充值人数”显示为1</t>
  </si>
  <si>
    <t>总登录率计算</t>
  </si>
  <si>
    <t>根据条件查询后，总发送成功人数为2，总登录人数为2</t>
  </si>
  <si>
    <t>查看“总登录率”字段</t>
  </si>
  <si>
    <t>“总登录率”显示为 100% (2/2*100%)</t>
  </si>
  <si>
    <t>总付费率计算</t>
  </si>
  <si>
    <t>根据条件查询后，总登录人数为2，总充值人数为1</t>
  </si>
  <si>
    <t>查看“总付费率”字段</t>
  </si>
  <si>
    <t>“总付费率”显示为 50% (1/2*100%)</t>
  </si>
  <si>
    <t>总发送成本统计</t>
  </si>
  <si>
    <t>任务A发送成本为0.06，任务B发送成本为0.06，任务C发送成本为0.06</t>
  </si>
  <si>
    <t xml:space="preserve"> 查看“总发送成本”字段</t>
  </si>
  <si>
    <t>“总发送成本”显示为0.18 (0.06X3)</t>
  </si>
  <si>
    <t>总ROI计算</t>
  </si>
  <si>
    <t>根据条件查询后，任务A和B的总充值金额为1000，总【积分兑换】金额为200，总发送成本为80</t>
  </si>
  <si>
    <t>查看“总ROI”字段</t>
  </si>
  <si>
    <t>“总ROI”显示为 1000% (贡献 = 1000 - 200 = 800; 800 / 0.18 * 100% = 444444.44%)</t>
  </si>
  <si>
    <t>当前任务充值人数（本任务去重）</t>
  </si>
  <si>
    <t>1. 任务A发送给用户U1, U2, U3
2. 用户U1充值1次，用户U2充值2次，用户U3未充值</t>
  </si>
  <si>
    <t>查看任务A记录行的“充值人数”字段</t>
  </si>
  <si>
    <t>“充值人数”显示为2</t>
  </si>
  <si>
    <t>任务类型筛选影响统计</t>
  </si>
  <si>
    <t>1. 存在普通任务A和生日任务B
2. 筛选任务类型为“普通任务”</t>
  </si>
  <si>
    <t>1. 执行查询
2. 查看统计字段</t>
  </si>
  <si>
    <t>只统计普通任务A的数据，不包含生日任务的数据</t>
  </si>
  <si>
    <t>导出功能包含新字段</t>
  </si>
  <si>
    <t>1. 管理员登录账服
2. 发送记录列表中有数据</t>
  </si>
  <si>
    <t>1. 点击【导出】按钮
2. 打开导出的文件</t>
  </si>
  <si>
    <t>导出文件包含所有新增统计字段，且数据与页面显示一致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</si>
</sst>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  <scheme val="minor"/>
    </font>
    <font>
      <sz val="12"/>
      <color rgb="FF0F1115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1" applyNumberFormat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1" applyNumberFormat="1" applyFont="1" applyFill="1" applyBorder="1" applyAlignment="1">
      <alignment horizontal="left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14" fontId="4" fillId="4" borderId="4" xfId="1" applyNumberFormat="1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1" fillId="0" borderId="9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</cellXfs>
  <cellStyles count="2">
    <cellStyle name="常规" xfId="0" builtinId="0"/>
    <cellStyle name="一般 10" xfId="1" xr:uid="{00000000-0005-0000-0000-000031000000}"/>
  </cellStyles>
  <dxfs count="114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7</xdr:row>
      <xdr:rowOff>104140</xdr:rowOff>
    </xdr:from>
    <xdr:to>
      <xdr:col>8</xdr:col>
      <xdr:colOff>1838325</xdr:colOff>
      <xdr:row>8</xdr:row>
      <xdr:rowOff>187325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83850" y="1485265"/>
          <a:ext cx="1352550" cy="527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996315</xdr:colOff>
      <xdr:row>10</xdr:row>
      <xdr:rowOff>394335</xdr:rowOff>
    </xdr:from>
    <xdr:to>
      <xdr:col>8</xdr:col>
      <xdr:colOff>2124075</xdr:colOff>
      <xdr:row>12</xdr:row>
      <xdr:rowOff>69850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94390" y="3337560"/>
          <a:ext cx="1127760" cy="564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914400</xdr:colOff>
      <xdr:row>13</xdr:row>
      <xdr:rowOff>368300</xdr:rowOff>
    </xdr:from>
    <xdr:to>
      <xdr:col>8</xdr:col>
      <xdr:colOff>2042160</xdr:colOff>
      <xdr:row>15</xdr:row>
      <xdr:rowOff>43815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12475" y="4645025"/>
          <a:ext cx="1127760" cy="564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847725</xdr:colOff>
      <xdr:row>16</xdr:row>
      <xdr:rowOff>358775</xdr:rowOff>
    </xdr:from>
    <xdr:to>
      <xdr:col>8</xdr:col>
      <xdr:colOff>1975485</xdr:colOff>
      <xdr:row>18</xdr:row>
      <xdr:rowOff>34290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45800" y="5969000"/>
          <a:ext cx="1127760" cy="564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995045</xdr:colOff>
      <xdr:row>21</xdr:row>
      <xdr:rowOff>191135</xdr:rowOff>
    </xdr:from>
    <xdr:to>
      <xdr:col>8</xdr:col>
      <xdr:colOff>1885950</xdr:colOff>
      <xdr:row>22</xdr:row>
      <xdr:rowOff>215900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693120" y="8862060"/>
          <a:ext cx="890905" cy="469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927735</xdr:colOff>
      <xdr:row>20</xdr:row>
      <xdr:rowOff>195580</xdr:rowOff>
    </xdr:from>
    <xdr:to>
      <xdr:col>8</xdr:col>
      <xdr:colOff>1885950</xdr:colOff>
      <xdr:row>20</xdr:row>
      <xdr:rowOff>720725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625810" y="8028305"/>
          <a:ext cx="958215" cy="52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1128395</xdr:colOff>
      <xdr:row>19</xdr:row>
      <xdr:rowOff>209550</xdr:rowOff>
    </xdr:from>
    <xdr:to>
      <xdr:col>8</xdr:col>
      <xdr:colOff>2057400</xdr:colOff>
      <xdr:row>19</xdr:row>
      <xdr:rowOff>669925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26470" y="7153275"/>
          <a:ext cx="929005" cy="46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1979930</xdr:colOff>
      <xdr:row>23</xdr:row>
      <xdr:rowOff>281305</xdr:rowOff>
    </xdr:from>
    <xdr:to>
      <xdr:col>8</xdr:col>
      <xdr:colOff>2628900</xdr:colOff>
      <xdr:row>23</xdr:row>
      <xdr:rowOff>679450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678005" y="9841230"/>
          <a:ext cx="648970" cy="398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1169035</xdr:colOff>
      <xdr:row>23</xdr:row>
      <xdr:rowOff>323215</xdr:rowOff>
    </xdr:from>
    <xdr:to>
      <xdr:col>8</xdr:col>
      <xdr:colOff>1866900</xdr:colOff>
      <xdr:row>23</xdr:row>
      <xdr:rowOff>682625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867110" y="9883140"/>
          <a:ext cx="697865" cy="359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262255</xdr:colOff>
      <xdr:row>23</xdr:row>
      <xdr:rowOff>356870</xdr:rowOff>
    </xdr:from>
    <xdr:to>
      <xdr:col>8</xdr:col>
      <xdr:colOff>809625</xdr:colOff>
      <xdr:row>23</xdr:row>
      <xdr:rowOff>717550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960330" y="9916795"/>
          <a:ext cx="547370" cy="36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885190</xdr:colOff>
      <xdr:row>24</xdr:row>
      <xdr:rowOff>199390</xdr:rowOff>
    </xdr:from>
    <xdr:to>
      <xdr:col>8</xdr:col>
      <xdr:colOff>2038350</xdr:colOff>
      <xdr:row>25</xdr:row>
      <xdr:rowOff>304800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583265" y="10800715"/>
          <a:ext cx="1153160" cy="54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991235</xdr:colOff>
      <xdr:row>26</xdr:row>
      <xdr:rowOff>156845</xdr:rowOff>
    </xdr:from>
    <xdr:to>
      <xdr:col>8</xdr:col>
      <xdr:colOff>1847850</xdr:colOff>
      <xdr:row>27</xdr:row>
      <xdr:rowOff>228600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689310" y="11647170"/>
          <a:ext cx="856615" cy="516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1771650</xdr:colOff>
      <xdr:row>28</xdr:row>
      <xdr:rowOff>255270</xdr:rowOff>
    </xdr:from>
    <xdr:to>
      <xdr:col>8</xdr:col>
      <xdr:colOff>2505075</xdr:colOff>
      <xdr:row>29</xdr:row>
      <xdr:rowOff>228600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469725" y="12634595"/>
          <a:ext cx="733425" cy="417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476885</xdr:colOff>
      <xdr:row>28</xdr:row>
      <xdr:rowOff>169545</xdr:rowOff>
    </xdr:from>
    <xdr:to>
      <xdr:col>8</xdr:col>
      <xdr:colOff>1190625</xdr:colOff>
      <xdr:row>29</xdr:row>
      <xdr:rowOff>98425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174960" y="12548870"/>
          <a:ext cx="713740" cy="3733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E1" workbookViewId="0">
      <pane ySplit="7" topLeftCell="D14" activePane="bottomLeft" state="frozen"/>
      <selection pane="bottomLeft" activeCell="F14" sqref="F14:F16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3" customWidth="1"/>
    <col min="9" max="9" width="36.125" style="1" customWidth="1"/>
    <col min="10" max="16384" width="9" style="1"/>
  </cols>
  <sheetData>
    <row r="1" spans="1:9" ht="16.5" customHeight="1">
      <c r="A1" s="37" t="s">
        <v>0</v>
      </c>
      <c r="B1" s="38"/>
      <c r="C1" s="38"/>
      <c r="D1" s="38"/>
      <c r="E1" s="38"/>
      <c r="F1" s="38"/>
      <c r="G1" s="4" t="s">
        <v>1</v>
      </c>
      <c r="H1" s="5">
        <f>H2+H3+H4</f>
        <v>11</v>
      </c>
      <c r="I1" s="6"/>
    </row>
    <row r="2" spans="1:9">
      <c r="A2" s="7" t="s">
        <v>2</v>
      </c>
      <c r="B2" s="8"/>
      <c r="C2" s="39"/>
      <c r="D2" s="39"/>
      <c r="E2" s="9" t="s">
        <v>3</v>
      </c>
      <c r="F2" s="10">
        <v>46063</v>
      </c>
      <c r="G2" s="11" t="s">
        <v>4</v>
      </c>
      <c r="H2" s="12">
        <f>COUNTIF(H8:H227,"Pass")</f>
        <v>11</v>
      </c>
      <c r="I2" s="6"/>
    </row>
    <row r="3" spans="1:9" ht="16.5" customHeight="1">
      <c r="A3" s="13" t="s">
        <v>5</v>
      </c>
      <c r="B3" s="8"/>
      <c r="C3" s="39"/>
      <c r="D3" s="39"/>
      <c r="E3" s="14" t="s">
        <v>6</v>
      </c>
      <c r="F3" s="15"/>
      <c r="G3" s="16" t="s">
        <v>7</v>
      </c>
      <c r="H3" s="17">
        <f>COUNTIF(H8:H227,"Fail")</f>
        <v>0</v>
      </c>
      <c r="I3" s="6"/>
    </row>
    <row r="4" spans="1:9" ht="16.5" customHeight="1">
      <c r="A4" s="18" t="s">
        <v>8</v>
      </c>
      <c r="B4" s="19"/>
      <c r="C4" s="39"/>
      <c r="D4" s="39"/>
      <c r="E4" s="20" t="s">
        <v>9</v>
      </c>
      <c r="F4" s="21"/>
      <c r="G4" s="22" t="s">
        <v>10</v>
      </c>
      <c r="H4" s="23">
        <f>COUNTIF(H8:H227,"N/A")</f>
        <v>0</v>
      </c>
      <c r="I4" s="6"/>
    </row>
    <row r="5" spans="1:9" ht="16.5" customHeight="1">
      <c r="A5" s="13" t="s">
        <v>11</v>
      </c>
      <c r="B5" s="8"/>
      <c r="C5" s="39"/>
      <c r="D5" s="39"/>
      <c r="E5" s="14" t="s">
        <v>12</v>
      </c>
      <c r="F5" s="24"/>
      <c r="G5" s="6"/>
      <c r="H5" s="25"/>
      <c r="I5" s="6"/>
    </row>
    <row r="6" spans="1:9">
      <c r="A6" s="26" t="s">
        <v>13</v>
      </c>
      <c r="B6" s="27"/>
      <c r="C6" s="40"/>
      <c r="D6" s="41"/>
      <c r="E6" s="42"/>
      <c r="F6" s="42"/>
      <c r="G6" s="28"/>
      <c r="H6" s="25"/>
      <c r="I6" s="6"/>
    </row>
    <row r="7" spans="1:9" ht="14.25" customHeight="1">
      <c r="A7" s="29" t="s">
        <v>14</v>
      </c>
      <c r="B7" s="29" t="s">
        <v>15</v>
      </c>
      <c r="C7" s="29" t="s">
        <v>16</v>
      </c>
      <c r="D7" s="29" t="s">
        <v>17</v>
      </c>
      <c r="E7" s="29" t="s">
        <v>18</v>
      </c>
      <c r="F7" s="29" t="s">
        <v>19</v>
      </c>
      <c r="G7" s="29" t="s">
        <v>20</v>
      </c>
      <c r="H7" s="29" t="s">
        <v>21</v>
      </c>
      <c r="I7" s="29" t="s">
        <v>22</v>
      </c>
    </row>
    <row r="8" spans="1:9" ht="35.1" customHeight="1">
      <c r="A8" s="43">
        <v>1</v>
      </c>
      <c r="B8" s="44" t="s">
        <v>23</v>
      </c>
      <c r="C8" s="44" t="s">
        <v>24</v>
      </c>
      <c r="D8" s="47" t="s">
        <v>25</v>
      </c>
      <c r="E8" s="48" t="s">
        <v>26</v>
      </c>
      <c r="F8" s="47" t="s">
        <v>27</v>
      </c>
      <c r="G8" s="47" t="s">
        <v>28</v>
      </c>
      <c r="H8" s="51" t="s">
        <v>4</v>
      </c>
      <c r="I8" s="54"/>
    </row>
    <row r="9" spans="1:9" ht="53.1" customHeight="1">
      <c r="A9" s="43"/>
      <c r="B9" s="45"/>
      <c r="C9" s="45"/>
      <c r="D9" s="47"/>
      <c r="E9" s="49"/>
      <c r="F9" s="47"/>
      <c r="G9" s="47"/>
      <c r="H9" s="52"/>
      <c r="I9" s="56"/>
    </row>
    <row r="10" spans="1:9" ht="35.1" customHeight="1">
      <c r="A10" s="43">
        <v>2</v>
      </c>
      <c r="B10" s="45"/>
      <c r="C10" s="45"/>
      <c r="D10" s="47" t="s">
        <v>29</v>
      </c>
      <c r="E10" s="48" t="s">
        <v>30</v>
      </c>
      <c r="F10" s="48" t="s">
        <v>31</v>
      </c>
      <c r="G10" s="47" t="s">
        <v>32</v>
      </c>
      <c r="H10" s="51" t="s">
        <v>4</v>
      </c>
      <c r="I10" s="54"/>
    </row>
    <row r="11" spans="1:9" ht="35.1" customHeight="1">
      <c r="A11" s="43"/>
      <c r="B11" s="45"/>
      <c r="C11" s="45"/>
      <c r="D11" s="47"/>
      <c r="E11" s="50"/>
      <c r="F11" s="50"/>
      <c r="G11" s="47"/>
      <c r="H11" s="53"/>
      <c r="I11" s="55"/>
    </row>
    <row r="12" spans="1:9" ht="35.1" customHeight="1">
      <c r="A12" s="43"/>
      <c r="B12" s="45"/>
      <c r="C12" s="45"/>
      <c r="D12" s="47"/>
      <c r="E12" s="50"/>
      <c r="F12" s="50"/>
      <c r="G12" s="47"/>
      <c r="H12" s="53"/>
      <c r="I12" s="55"/>
    </row>
    <row r="13" spans="1:9" ht="35.1" customHeight="1">
      <c r="A13" s="43"/>
      <c r="B13" s="45"/>
      <c r="C13" s="45"/>
      <c r="D13" s="47"/>
      <c r="E13" s="49"/>
      <c r="F13" s="49"/>
      <c r="G13" s="47"/>
      <c r="H13" s="52"/>
      <c r="I13" s="56"/>
    </row>
    <row r="14" spans="1:9" ht="35.1" customHeight="1">
      <c r="A14" s="43">
        <v>3</v>
      </c>
      <c r="B14" s="45"/>
      <c r="C14" s="45"/>
      <c r="D14" s="47" t="s">
        <v>33</v>
      </c>
      <c r="E14" s="48" t="s">
        <v>34</v>
      </c>
      <c r="F14" s="48" t="s">
        <v>35</v>
      </c>
      <c r="G14" s="47" t="s">
        <v>36</v>
      </c>
      <c r="H14" s="51" t="s">
        <v>4</v>
      </c>
      <c r="I14" s="54"/>
    </row>
    <row r="15" spans="1:9" ht="35.1" customHeight="1">
      <c r="A15" s="43"/>
      <c r="B15" s="45"/>
      <c r="C15" s="45"/>
      <c r="D15" s="47"/>
      <c r="E15" s="50"/>
      <c r="F15" s="50"/>
      <c r="G15" s="47"/>
      <c r="H15" s="53"/>
      <c r="I15" s="55"/>
    </row>
    <row r="16" spans="1:9" ht="35.1" customHeight="1">
      <c r="A16" s="43"/>
      <c r="B16" s="45"/>
      <c r="C16" s="45"/>
      <c r="D16" s="47"/>
      <c r="E16" s="49"/>
      <c r="F16" s="49"/>
      <c r="G16" s="47"/>
      <c r="H16" s="52"/>
      <c r="I16" s="56"/>
    </row>
    <row r="17" spans="1:9" ht="35.1" customHeight="1">
      <c r="A17" s="43">
        <v>4</v>
      </c>
      <c r="B17" s="45"/>
      <c r="C17" s="45"/>
      <c r="D17" s="47" t="s">
        <v>37</v>
      </c>
      <c r="E17" s="48" t="s">
        <v>38</v>
      </c>
      <c r="F17" s="48" t="s">
        <v>39</v>
      </c>
      <c r="G17" s="47" t="s">
        <v>40</v>
      </c>
      <c r="H17" s="51" t="s">
        <v>4</v>
      </c>
      <c r="I17" s="57"/>
    </row>
    <row r="18" spans="1:9" ht="35.1" customHeight="1">
      <c r="A18" s="43"/>
      <c r="B18" s="45"/>
      <c r="C18" s="45"/>
      <c r="D18" s="47"/>
      <c r="E18" s="50"/>
      <c r="F18" s="50"/>
      <c r="G18" s="47"/>
      <c r="H18" s="53"/>
      <c r="I18" s="58"/>
    </row>
    <row r="19" spans="1:9" ht="35.1" customHeight="1">
      <c r="A19" s="43"/>
      <c r="B19" s="45"/>
      <c r="C19" s="45"/>
      <c r="D19" s="47"/>
      <c r="E19" s="49"/>
      <c r="F19" s="49"/>
      <c r="G19" s="47"/>
      <c r="H19" s="52"/>
      <c r="I19" s="59"/>
    </row>
    <row r="20" spans="1:9" ht="69.95" customHeight="1">
      <c r="A20" s="30">
        <v>5</v>
      </c>
      <c r="B20" s="45"/>
      <c r="C20" s="45"/>
      <c r="D20" s="31" t="s">
        <v>41</v>
      </c>
      <c r="E20" s="31" t="s">
        <v>42</v>
      </c>
      <c r="F20" s="31" t="s">
        <v>43</v>
      </c>
      <c r="G20" s="31" t="s">
        <v>44</v>
      </c>
      <c r="H20" s="33" t="s">
        <v>4</v>
      </c>
      <c r="I20" s="34"/>
    </row>
    <row r="21" spans="1:9" ht="66" customHeight="1">
      <c r="A21" s="30">
        <v>6</v>
      </c>
      <c r="B21" s="45"/>
      <c r="C21" s="45"/>
      <c r="D21" s="31" t="s">
        <v>45</v>
      </c>
      <c r="E21" s="31" t="s">
        <v>46</v>
      </c>
      <c r="F21" s="31" t="s">
        <v>47</v>
      </c>
      <c r="G21" s="31" t="s">
        <v>48</v>
      </c>
      <c r="H21" s="33" t="s">
        <v>4</v>
      </c>
      <c r="I21" s="34"/>
    </row>
    <row r="22" spans="1:9" ht="35.1" customHeight="1">
      <c r="A22" s="43">
        <v>7</v>
      </c>
      <c r="B22" s="45"/>
      <c r="C22" s="45"/>
      <c r="D22" s="47" t="s">
        <v>49</v>
      </c>
      <c r="E22" s="48" t="s">
        <v>50</v>
      </c>
      <c r="F22" s="44" t="s">
        <v>51</v>
      </c>
      <c r="G22" s="47" t="s">
        <v>52</v>
      </c>
      <c r="H22" s="51" t="s">
        <v>4</v>
      </c>
      <c r="I22" s="57"/>
    </row>
    <row r="23" spans="1:9" ht="35.1" customHeight="1">
      <c r="A23" s="43"/>
      <c r="B23" s="45"/>
      <c r="C23" s="45"/>
      <c r="D23" s="47"/>
      <c r="E23" s="49"/>
      <c r="F23" s="46"/>
      <c r="G23" s="47"/>
      <c r="H23" s="52"/>
      <c r="I23" s="59"/>
    </row>
    <row r="24" spans="1:9" ht="81.95" customHeight="1">
      <c r="A24" s="30">
        <v>8</v>
      </c>
      <c r="B24" s="45"/>
      <c r="C24" s="45"/>
      <c r="D24" s="31" t="s">
        <v>53</v>
      </c>
      <c r="E24" s="31" t="s">
        <v>54</v>
      </c>
      <c r="F24" s="31" t="s">
        <v>55</v>
      </c>
      <c r="G24" s="31" t="s">
        <v>56</v>
      </c>
      <c r="H24" s="33" t="s">
        <v>4</v>
      </c>
      <c r="I24" s="34"/>
    </row>
    <row r="25" spans="1:9" ht="35.1" customHeight="1">
      <c r="A25" s="43">
        <v>9</v>
      </c>
      <c r="B25" s="45"/>
      <c r="C25" s="45"/>
      <c r="D25" s="47" t="s">
        <v>57</v>
      </c>
      <c r="E25" s="48" t="s">
        <v>58</v>
      </c>
      <c r="F25" s="47" t="s">
        <v>59</v>
      </c>
      <c r="G25" s="47" t="s">
        <v>60</v>
      </c>
      <c r="H25" s="51" t="s">
        <v>4</v>
      </c>
      <c r="I25" s="57"/>
    </row>
    <row r="26" spans="1:9" ht="35.1" customHeight="1">
      <c r="A26" s="43"/>
      <c r="B26" s="45"/>
      <c r="C26" s="45"/>
      <c r="D26" s="47"/>
      <c r="E26" s="49"/>
      <c r="F26" s="47"/>
      <c r="G26" s="47"/>
      <c r="H26" s="52"/>
      <c r="I26" s="59"/>
    </row>
    <row r="27" spans="1:9" ht="35.1" customHeight="1">
      <c r="A27" s="43">
        <v>10</v>
      </c>
      <c r="B27" s="45"/>
      <c r="C27" s="45"/>
      <c r="D27" s="47" t="s">
        <v>61</v>
      </c>
      <c r="E27" s="48" t="s">
        <v>62</v>
      </c>
      <c r="F27" s="48" t="s">
        <v>63</v>
      </c>
      <c r="G27" s="47" t="s">
        <v>64</v>
      </c>
      <c r="H27" s="51" t="s">
        <v>4</v>
      </c>
      <c r="I27" s="57"/>
    </row>
    <row r="28" spans="1:9" ht="35.1" customHeight="1">
      <c r="A28" s="43"/>
      <c r="B28" s="45"/>
      <c r="C28" s="45"/>
      <c r="D28" s="47"/>
      <c r="E28" s="49"/>
      <c r="F28" s="49"/>
      <c r="G28" s="47"/>
      <c r="H28" s="52"/>
      <c r="I28" s="59"/>
    </row>
    <row r="29" spans="1:9" ht="35.1" customHeight="1">
      <c r="A29" s="43">
        <v>11</v>
      </c>
      <c r="B29" s="45"/>
      <c r="C29" s="45"/>
      <c r="D29" s="47" t="s">
        <v>65</v>
      </c>
      <c r="E29" s="48" t="s">
        <v>66</v>
      </c>
      <c r="F29" s="48" t="s">
        <v>67</v>
      </c>
      <c r="G29" s="47" t="s">
        <v>68</v>
      </c>
      <c r="H29" s="51" t="s">
        <v>4</v>
      </c>
      <c r="I29" s="57"/>
    </row>
    <row r="30" spans="1:9" ht="35.1" customHeight="1">
      <c r="A30" s="43"/>
      <c r="B30" s="46"/>
      <c r="C30" s="46"/>
      <c r="D30" s="47"/>
      <c r="E30" s="49"/>
      <c r="F30" s="49"/>
      <c r="G30" s="47"/>
      <c r="H30" s="52"/>
      <c r="I30" s="59"/>
    </row>
    <row r="31" spans="1:9" ht="35.1" customHeight="1">
      <c r="A31" s="35"/>
      <c r="B31" s="35"/>
      <c r="C31" s="32"/>
      <c r="D31" s="32"/>
      <c r="E31" s="32"/>
      <c r="F31" s="32"/>
      <c r="G31" s="32"/>
      <c r="H31" s="33"/>
      <c r="I31" s="34"/>
    </row>
    <row r="32" spans="1:9" ht="35.1" customHeight="1">
      <c r="A32" s="36"/>
      <c r="B32" s="35"/>
      <c r="C32" s="32"/>
      <c r="D32" s="32"/>
      <c r="E32" s="32"/>
      <c r="F32" s="32"/>
      <c r="G32" s="32"/>
      <c r="H32" s="33"/>
      <c r="I32" s="34"/>
    </row>
    <row r="33" spans="1:9" ht="35.1" customHeight="1">
      <c r="A33" s="36"/>
      <c r="B33" s="35"/>
      <c r="C33" s="32"/>
      <c r="D33" s="32"/>
      <c r="E33" s="32"/>
      <c r="F33" s="32"/>
      <c r="G33" s="32"/>
      <c r="H33" s="33"/>
      <c r="I33" s="34"/>
    </row>
    <row r="34" spans="1:9" ht="35.1" customHeight="1">
      <c r="A34" s="36"/>
      <c r="B34" s="35"/>
      <c r="C34" s="32"/>
      <c r="D34" s="32"/>
      <c r="E34" s="32"/>
      <c r="F34" s="32"/>
      <c r="G34" s="32"/>
      <c r="H34" s="33"/>
      <c r="I34" s="34"/>
    </row>
    <row r="35" spans="1:9" ht="35.1" customHeight="1">
      <c r="A35" s="36"/>
      <c r="B35" s="35"/>
      <c r="C35" s="32"/>
      <c r="D35" s="32"/>
      <c r="E35" s="32"/>
      <c r="F35" s="32"/>
      <c r="G35" s="32"/>
      <c r="H35" s="33"/>
      <c r="I35" s="34"/>
    </row>
    <row r="36" spans="1:9" ht="35.1" customHeight="1">
      <c r="A36" s="36"/>
      <c r="B36" s="35"/>
      <c r="C36" s="32"/>
      <c r="D36" s="32"/>
      <c r="E36" s="32"/>
      <c r="F36" s="32"/>
      <c r="G36" s="32"/>
      <c r="H36" s="33"/>
      <c r="I36" s="34"/>
    </row>
    <row r="37" spans="1:9" ht="35.1" customHeight="1">
      <c r="A37" s="36"/>
      <c r="B37" s="35"/>
      <c r="C37" s="32"/>
      <c r="D37" s="32"/>
      <c r="E37" s="32"/>
      <c r="F37" s="32"/>
      <c r="G37" s="32"/>
      <c r="H37" s="33"/>
      <c r="I37" s="34"/>
    </row>
    <row r="38" spans="1:9" ht="35.1" customHeight="1">
      <c r="A38" s="36"/>
      <c r="B38" s="35"/>
      <c r="C38" s="32"/>
      <c r="D38" s="32"/>
      <c r="E38" s="32"/>
      <c r="F38" s="32"/>
      <c r="G38" s="32"/>
      <c r="H38" s="33"/>
      <c r="I38" s="34"/>
    </row>
    <row r="39" spans="1:9" ht="35.1" customHeight="1">
      <c r="A39" s="36"/>
      <c r="B39" s="35"/>
      <c r="C39" s="32"/>
      <c r="D39" s="32"/>
      <c r="E39" s="32"/>
      <c r="F39" s="32"/>
      <c r="G39" s="32"/>
      <c r="H39" s="33"/>
      <c r="I39" s="34"/>
    </row>
    <row r="40" spans="1:9" ht="35.1" customHeight="1">
      <c r="A40" s="36"/>
      <c r="B40" s="35"/>
      <c r="C40" s="32"/>
      <c r="D40" s="32"/>
      <c r="E40" s="32"/>
      <c r="F40" s="32"/>
      <c r="G40" s="32"/>
      <c r="H40" s="33"/>
      <c r="I40" s="34"/>
    </row>
    <row r="41" spans="1:9" ht="35.1" customHeight="1">
      <c r="A41" s="36"/>
      <c r="B41" s="35"/>
      <c r="C41" s="32"/>
      <c r="D41" s="32"/>
      <c r="E41" s="32"/>
      <c r="F41" s="32"/>
      <c r="G41" s="32"/>
      <c r="H41" s="33"/>
      <c r="I41" s="34"/>
    </row>
    <row r="42" spans="1:9" ht="35.1" customHeight="1">
      <c r="A42" s="36"/>
      <c r="B42" s="35"/>
      <c r="C42" s="32"/>
      <c r="D42" s="32"/>
      <c r="E42" s="32"/>
      <c r="F42" s="32"/>
      <c r="G42" s="32"/>
      <c r="H42" s="33"/>
      <c r="I42" s="34"/>
    </row>
    <row r="43" spans="1:9">
      <c r="A43" s="36"/>
      <c r="B43" s="35"/>
      <c r="C43" s="32"/>
      <c r="D43" s="32"/>
      <c r="E43" s="32"/>
      <c r="F43" s="32"/>
      <c r="G43" s="32"/>
      <c r="H43" s="33"/>
      <c r="I43" s="34"/>
    </row>
    <row r="44" spans="1:9">
      <c r="A44" s="36"/>
      <c r="B44" s="35"/>
      <c r="C44" s="32"/>
      <c r="D44" s="32"/>
      <c r="E44" s="32"/>
      <c r="F44" s="32"/>
      <c r="G44" s="32"/>
      <c r="H44" s="33"/>
      <c r="I44" s="34"/>
    </row>
    <row r="45" spans="1:9">
      <c r="A45" s="36"/>
      <c r="B45" s="35"/>
      <c r="C45" s="32"/>
      <c r="D45" s="32"/>
      <c r="E45" s="32"/>
      <c r="F45" s="32"/>
      <c r="G45" s="32"/>
      <c r="H45" s="33"/>
      <c r="I45" s="34"/>
    </row>
    <row r="46" spans="1:9">
      <c r="A46" s="36"/>
      <c r="B46" s="35"/>
      <c r="C46" s="32"/>
      <c r="D46" s="32"/>
      <c r="E46" s="32"/>
      <c r="F46" s="32"/>
      <c r="G46" s="32"/>
      <c r="H46" s="33"/>
      <c r="I46" s="34"/>
    </row>
    <row r="47" spans="1:9">
      <c r="A47" s="36"/>
      <c r="B47" s="35"/>
      <c r="C47" s="32"/>
      <c r="D47" s="32"/>
      <c r="E47" s="32"/>
      <c r="F47" s="32"/>
      <c r="G47" s="32"/>
      <c r="H47" s="33"/>
      <c r="I47" s="34"/>
    </row>
    <row r="48" spans="1:9">
      <c r="A48" s="36"/>
      <c r="B48" s="35"/>
      <c r="C48" s="32"/>
      <c r="D48" s="32"/>
      <c r="E48" s="32"/>
      <c r="F48" s="32"/>
      <c r="G48" s="32"/>
      <c r="H48" s="33"/>
      <c r="I48" s="34"/>
    </row>
    <row r="49" spans="1:9">
      <c r="A49" s="36"/>
      <c r="B49" s="35"/>
      <c r="C49" s="32"/>
      <c r="D49" s="32"/>
      <c r="E49" s="32"/>
      <c r="F49" s="32"/>
      <c r="G49" s="32"/>
      <c r="H49" s="33"/>
      <c r="I49" s="34"/>
    </row>
    <row r="50" spans="1:9">
      <c r="A50" s="36"/>
      <c r="B50" s="35"/>
      <c r="C50" s="32"/>
      <c r="D50" s="32"/>
      <c r="E50" s="32"/>
      <c r="F50" s="32"/>
      <c r="G50" s="32"/>
      <c r="H50" s="33"/>
      <c r="I50" s="34"/>
    </row>
    <row r="51" spans="1:9">
      <c r="A51" s="36"/>
      <c r="B51" s="35"/>
      <c r="C51" s="32"/>
      <c r="D51" s="32"/>
      <c r="E51" s="32"/>
      <c r="F51" s="32"/>
      <c r="G51" s="32"/>
      <c r="H51" s="33"/>
      <c r="I51" s="34"/>
    </row>
    <row r="52" spans="1:9">
      <c r="A52" s="36"/>
      <c r="B52" s="35"/>
      <c r="C52" s="32"/>
      <c r="D52" s="32"/>
      <c r="E52" s="32"/>
      <c r="F52" s="32"/>
      <c r="G52" s="32"/>
      <c r="H52" s="33"/>
      <c r="I52" s="34"/>
    </row>
    <row r="53" spans="1:9">
      <c r="A53" s="36"/>
      <c r="B53" s="35"/>
      <c r="C53" s="32"/>
      <c r="D53" s="32"/>
      <c r="E53" s="32"/>
      <c r="F53" s="32"/>
      <c r="G53" s="32"/>
      <c r="H53" s="33"/>
      <c r="I53" s="34"/>
    </row>
    <row r="54" spans="1:9">
      <c r="A54" s="36"/>
      <c r="B54" s="35"/>
      <c r="C54" s="32"/>
      <c r="D54" s="32"/>
      <c r="E54" s="32"/>
      <c r="F54" s="32"/>
      <c r="G54" s="32"/>
      <c r="H54" s="33"/>
      <c r="I54" s="34"/>
    </row>
    <row r="55" spans="1:9">
      <c r="A55" s="36"/>
      <c r="B55" s="35"/>
      <c r="C55" s="32"/>
      <c r="D55" s="32"/>
      <c r="E55" s="32"/>
      <c r="F55" s="32"/>
      <c r="G55" s="32"/>
      <c r="H55" s="33"/>
      <c r="I55" s="34"/>
    </row>
    <row r="56" spans="1:9">
      <c r="A56" s="36"/>
      <c r="B56" s="35"/>
      <c r="C56" s="32"/>
      <c r="D56" s="32"/>
      <c r="E56" s="32"/>
      <c r="F56" s="32"/>
      <c r="G56" s="32"/>
      <c r="H56" s="33"/>
      <c r="I56" s="34"/>
    </row>
    <row r="57" spans="1:9">
      <c r="A57" s="36"/>
      <c r="B57" s="35"/>
      <c r="C57" s="32"/>
      <c r="D57" s="32"/>
      <c r="E57" s="32"/>
      <c r="F57" s="32"/>
      <c r="G57" s="32"/>
      <c r="H57" s="33"/>
      <c r="I57" s="34"/>
    </row>
  </sheetData>
  <mergeCells count="64">
    <mergeCell ref="I25:I26"/>
    <mergeCell ref="I27:I28"/>
    <mergeCell ref="I29:I30"/>
    <mergeCell ref="I8:I9"/>
    <mergeCell ref="I10:I13"/>
    <mergeCell ref="I14:I16"/>
    <mergeCell ref="I17:I19"/>
    <mergeCell ref="I22:I23"/>
    <mergeCell ref="G25:G26"/>
    <mergeCell ref="G27:G28"/>
    <mergeCell ref="G29:G30"/>
    <mergeCell ref="H8:H9"/>
    <mergeCell ref="H10:H13"/>
    <mergeCell ref="H14:H16"/>
    <mergeCell ref="H17:H19"/>
    <mergeCell ref="H22:H23"/>
    <mergeCell ref="H25:H26"/>
    <mergeCell ref="H27:H28"/>
    <mergeCell ref="H29:H30"/>
    <mergeCell ref="G8:G9"/>
    <mergeCell ref="G10:G13"/>
    <mergeCell ref="G14:G16"/>
    <mergeCell ref="G17:G19"/>
    <mergeCell ref="G22:G23"/>
    <mergeCell ref="E29:E30"/>
    <mergeCell ref="F8:F9"/>
    <mergeCell ref="F10:F13"/>
    <mergeCell ref="F14:F16"/>
    <mergeCell ref="F17:F19"/>
    <mergeCell ref="F22:F23"/>
    <mergeCell ref="F25:F26"/>
    <mergeCell ref="F27:F28"/>
    <mergeCell ref="F29:F30"/>
    <mergeCell ref="E14:E16"/>
    <mergeCell ref="E17:E19"/>
    <mergeCell ref="E22:E23"/>
    <mergeCell ref="E25:E26"/>
    <mergeCell ref="E27:E28"/>
    <mergeCell ref="A22:A23"/>
    <mergeCell ref="A25:A26"/>
    <mergeCell ref="A27:A28"/>
    <mergeCell ref="A29:A30"/>
    <mergeCell ref="B8:B30"/>
    <mergeCell ref="C6:F6"/>
    <mergeCell ref="A8:A9"/>
    <mergeCell ref="A10:A13"/>
    <mergeCell ref="A14:A16"/>
    <mergeCell ref="A17:A19"/>
    <mergeCell ref="C8:C30"/>
    <mergeCell ref="D8:D9"/>
    <mergeCell ref="D10:D13"/>
    <mergeCell ref="D14:D16"/>
    <mergeCell ref="D17:D19"/>
    <mergeCell ref="D22:D23"/>
    <mergeCell ref="D25:D26"/>
    <mergeCell ref="D27:D28"/>
    <mergeCell ref="D29:D30"/>
    <mergeCell ref="E8:E9"/>
    <mergeCell ref="E10:E13"/>
    <mergeCell ref="A1:F1"/>
    <mergeCell ref="C2:D2"/>
    <mergeCell ref="C3:D3"/>
    <mergeCell ref="C4:D4"/>
    <mergeCell ref="C5:D5"/>
  </mergeCells>
  <conditionalFormatting sqref="H8">
    <cfRule type="cellIs" dxfId="113" priority="160" stopIfTrue="1" operator="equal">
      <formula>"N/A"</formula>
    </cfRule>
    <cfRule type="cellIs" dxfId="112" priority="161" stopIfTrue="1" operator="equal">
      <formula>"Fail"</formula>
    </cfRule>
    <cfRule type="cellIs" dxfId="111" priority="162" stopIfTrue="1" operator="equal">
      <formula>"Pass"</formula>
    </cfRule>
  </conditionalFormatting>
  <conditionalFormatting sqref="H10">
    <cfRule type="cellIs" dxfId="110" priority="163" stopIfTrue="1" operator="equal">
      <formula>"N/A"</formula>
    </cfRule>
    <cfRule type="cellIs" dxfId="109" priority="164" stopIfTrue="1" operator="equal">
      <formula>"Fail"</formula>
    </cfRule>
    <cfRule type="cellIs" dxfId="108" priority="165" stopIfTrue="1" operator="equal">
      <formula>"Pass"</formula>
    </cfRule>
  </conditionalFormatting>
  <conditionalFormatting sqref="H14">
    <cfRule type="cellIs" dxfId="107" priority="187" stopIfTrue="1" operator="equal">
      <formula>"N/A"</formula>
    </cfRule>
    <cfRule type="cellIs" dxfId="106" priority="188" stopIfTrue="1" operator="equal">
      <formula>"Fail"</formula>
    </cfRule>
    <cfRule type="cellIs" dxfId="105" priority="189" stopIfTrue="1" operator="equal">
      <formula>"Pass"</formula>
    </cfRule>
  </conditionalFormatting>
  <conditionalFormatting sqref="H17">
    <cfRule type="cellIs" dxfId="104" priority="172" stopIfTrue="1" operator="equal">
      <formula>"N/A"</formula>
    </cfRule>
    <cfRule type="cellIs" dxfId="103" priority="173" stopIfTrue="1" operator="equal">
      <formula>"Fail"</formula>
    </cfRule>
    <cfRule type="cellIs" dxfId="102" priority="174" stopIfTrue="1" operator="equal">
      <formula>"Pass"</formula>
    </cfRule>
  </conditionalFormatting>
  <conditionalFormatting sqref="H20">
    <cfRule type="cellIs" dxfId="101" priority="117" stopIfTrue="1" operator="equal">
      <formula>"N/A"</formula>
    </cfRule>
    <cfRule type="cellIs" dxfId="100" priority="137" stopIfTrue="1" operator="equal">
      <formula>"Fail"</formula>
    </cfRule>
    <cfRule type="cellIs" dxfId="99" priority="157" stopIfTrue="1" operator="equal">
      <formula>"Pass"</formula>
    </cfRule>
  </conditionalFormatting>
  <conditionalFormatting sqref="H21">
    <cfRule type="cellIs" dxfId="98" priority="116" stopIfTrue="1" operator="equal">
      <formula>"N/A"</formula>
    </cfRule>
    <cfRule type="cellIs" dxfId="97" priority="136" stopIfTrue="1" operator="equal">
      <formula>"Fail"</formula>
    </cfRule>
    <cfRule type="cellIs" dxfId="96" priority="156" stopIfTrue="1" operator="equal">
      <formula>"Pass"</formula>
    </cfRule>
  </conditionalFormatting>
  <conditionalFormatting sqref="H22">
    <cfRule type="cellIs" dxfId="95" priority="115" stopIfTrue="1" operator="equal">
      <formula>"N/A"</formula>
    </cfRule>
    <cfRule type="cellIs" dxfId="94" priority="135" stopIfTrue="1" operator="equal">
      <formula>"Fail"</formula>
    </cfRule>
    <cfRule type="cellIs" dxfId="93" priority="155" stopIfTrue="1" operator="equal">
      <formula>"Pass"</formula>
    </cfRule>
  </conditionalFormatting>
  <conditionalFormatting sqref="H24">
    <cfRule type="cellIs" dxfId="92" priority="113" stopIfTrue="1" operator="equal">
      <formula>"N/A"</formula>
    </cfRule>
    <cfRule type="cellIs" dxfId="91" priority="133" stopIfTrue="1" operator="equal">
      <formula>"Fail"</formula>
    </cfRule>
    <cfRule type="cellIs" dxfId="90" priority="153" stopIfTrue="1" operator="equal">
      <formula>"Pass"</formula>
    </cfRule>
  </conditionalFormatting>
  <conditionalFormatting sqref="H25">
    <cfRule type="cellIs" dxfId="89" priority="112" stopIfTrue="1" operator="equal">
      <formula>"N/A"</formula>
    </cfRule>
    <cfRule type="cellIs" dxfId="88" priority="132" stopIfTrue="1" operator="equal">
      <formula>"Fail"</formula>
    </cfRule>
    <cfRule type="cellIs" dxfId="87" priority="152" stopIfTrue="1" operator="equal">
      <formula>"Pass"</formula>
    </cfRule>
  </conditionalFormatting>
  <conditionalFormatting sqref="H27">
    <cfRule type="cellIs" dxfId="86" priority="107" stopIfTrue="1" operator="equal">
      <formula>"N/A"</formula>
    </cfRule>
    <cfRule type="cellIs" dxfId="85" priority="127" stopIfTrue="1" operator="equal">
      <formula>"Fail"</formula>
    </cfRule>
    <cfRule type="cellIs" dxfId="84" priority="147" stopIfTrue="1" operator="equal">
      <formula>"Pass"</formula>
    </cfRule>
  </conditionalFormatting>
  <conditionalFormatting sqref="H29">
    <cfRule type="cellIs" dxfId="83" priority="102" stopIfTrue="1" operator="equal">
      <formula>"N/A"</formula>
    </cfRule>
    <cfRule type="cellIs" dxfId="82" priority="122" stopIfTrue="1" operator="equal">
      <formula>"Fail"</formula>
    </cfRule>
    <cfRule type="cellIs" dxfId="81" priority="142" stopIfTrue="1" operator="equal">
      <formula>"Pass"</formula>
    </cfRule>
  </conditionalFormatting>
  <conditionalFormatting sqref="H31">
    <cfRule type="cellIs" dxfId="80" priority="27" stopIfTrue="1" operator="equal">
      <formula>"N/A"</formula>
    </cfRule>
    <cfRule type="cellIs" dxfId="79" priority="60" stopIfTrue="1" operator="equal">
      <formula>"Fail"</formula>
    </cfRule>
    <cfRule type="cellIs" dxfId="78" priority="93" stopIfTrue="1" operator="equal">
      <formula>"Pass"</formula>
    </cfRule>
  </conditionalFormatting>
  <conditionalFormatting sqref="H32">
    <cfRule type="cellIs" dxfId="77" priority="26" stopIfTrue="1" operator="equal">
      <formula>"N/A"</formula>
    </cfRule>
    <cfRule type="cellIs" dxfId="76" priority="59" stopIfTrue="1" operator="equal">
      <formula>"Fail"</formula>
    </cfRule>
    <cfRule type="cellIs" dxfId="75" priority="92" stopIfTrue="1" operator="equal">
      <formula>"Pass"</formula>
    </cfRule>
  </conditionalFormatting>
  <conditionalFormatting sqref="H33">
    <cfRule type="cellIs" dxfId="74" priority="25" stopIfTrue="1" operator="equal">
      <formula>"N/A"</formula>
    </cfRule>
    <cfRule type="cellIs" dxfId="73" priority="58" stopIfTrue="1" operator="equal">
      <formula>"Fail"</formula>
    </cfRule>
    <cfRule type="cellIs" dxfId="72" priority="91" stopIfTrue="1" operator="equal">
      <formula>"Pass"</formula>
    </cfRule>
  </conditionalFormatting>
  <conditionalFormatting sqref="H34">
    <cfRule type="cellIs" dxfId="71" priority="24" stopIfTrue="1" operator="equal">
      <formula>"N/A"</formula>
    </cfRule>
    <cfRule type="cellIs" dxfId="70" priority="57" stopIfTrue="1" operator="equal">
      <formula>"Fail"</formula>
    </cfRule>
    <cfRule type="cellIs" dxfId="69" priority="90" stopIfTrue="1" operator="equal">
      <formula>"Pass"</formula>
    </cfRule>
  </conditionalFormatting>
  <conditionalFormatting sqref="H35">
    <cfRule type="cellIs" dxfId="68" priority="23" stopIfTrue="1" operator="equal">
      <formula>"N/A"</formula>
    </cfRule>
    <cfRule type="cellIs" dxfId="67" priority="56" stopIfTrue="1" operator="equal">
      <formula>"Fail"</formula>
    </cfRule>
    <cfRule type="cellIs" dxfId="66" priority="89" stopIfTrue="1" operator="equal">
      <formula>"Pass"</formula>
    </cfRule>
  </conditionalFormatting>
  <conditionalFormatting sqref="H36">
    <cfRule type="cellIs" dxfId="65" priority="22" stopIfTrue="1" operator="equal">
      <formula>"N/A"</formula>
    </cfRule>
    <cfRule type="cellIs" dxfId="64" priority="55" stopIfTrue="1" operator="equal">
      <formula>"Fail"</formula>
    </cfRule>
    <cfRule type="cellIs" dxfId="63" priority="88" stopIfTrue="1" operator="equal">
      <formula>"Pass"</formula>
    </cfRule>
  </conditionalFormatting>
  <conditionalFormatting sqref="H37">
    <cfRule type="cellIs" dxfId="62" priority="21" stopIfTrue="1" operator="equal">
      <formula>"N/A"</formula>
    </cfRule>
    <cfRule type="cellIs" dxfId="61" priority="54" stopIfTrue="1" operator="equal">
      <formula>"Fail"</formula>
    </cfRule>
    <cfRule type="cellIs" dxfId="60" priority="87" stopIfTrue="1" operator="equal">
      <formula>"Pass"</formula>
    </cfRule>
  </conditionalFormatting>
  <conditionalFormatting sqref="H38">
    <cfRule type="cellIs" dxfId="59" priority="20" stopIfTrue="1" operator="equal">
      <formula>"N/A"</formula>
    </cfRule>
    <cfRule type="cellIs" dxfId="58" priority="53" stopIfTrue="1" operator="equal">
      <formula>"Fail"</formula>
    </cfRule>
    <cfRule type="cellIs" dxfId="57" priority="86" stopIfTrue="1" operator="equal">
      <formula>"Pass"</formula>
    </cfRule>
  </conditionalFormatting>
  <conditionalFormatting sqref="H39">
    <cfRule type="cellIs" dxfId="56" priority="19" stopIfTrue="1" operator="equal">
      <formula>"N/A"</formula>
    </cfRule>
    <cfRule type="cellIs" dxfId="55" priority="52" stopIfTrue="1" operator="equal">
      <formula>"Fail"</formula>
    </cfRule>
    <cfRule type="cellIs" dxfId="54" priority="85" stopIfTrue="1" operator="equal">
      <formula>"Pass"</formula>
    </cfRule>
  </conditionalFormatting>
  <conditionalFormatting sqref="H40">
    <cfRule type="cellIs" dxfId="53" priority="18" stopIfTrue="1" operator="equal">
      <formula>"N/A"</formula>
    </cfRule>
    <cfRule type="cellIs" dxfId="52" priority="51" stopIfTrue="1" operator="equal">
      <formula>"Fail"</formula>
    </cfRule>
    <cfRule type="cellIs" dxfId="51" priority="84" stopIfTrue="1" operator="equal">
      <formula>"Pass"</formula>
    </cfRule>
  </conditionalFormatting>
  <conditionalFormatting sqref="H41">
    <cfRule type="cellIs" dxfId="50" priority="17" stopIfTrue="1" operator="equal">
      <formula>"N/A"</formula>
    </cfRule>
    <cfRule type="cellIs" dxfId="49" priority="50" stopIfTrue="1" operator="equal">
      <formula>"Fail"</formula>
    </cfRule>
    <cfRule type="cellIs" dxfId="48" priority="83" stopIfTrue="1" operator="equal">
      <formula>"Pass"</formula>
    </cfRule>
  </conditionalFormatting>
  <conditionalFormatting sqref="H42">
    <cfRule type="cellIs" dxfId="47" priority="16" stopIfTrue="1" operator="equal">
      <formula>"N/A"</formula>
    </cfRule>
    <cfRule type="cellIs" dxfId="46" priority="49" stopIfTrue="1" operator="equal">
      <formula>"Fail"</formula>
    </cfRule>
    <cfRule type="cellIs" dxfId="45" priority="82" stopIfTrue="1" operator="equal">
      <formula>"Pass"</formula>
    </cfRule>
  </conditionalFormatting>
  <conditionalFormatting sqref="H43">
    <cfRule type="cellIs" dxfId="44" priority="15" stopIfTrue="1" operator="equal">
      <formula>"N/A"</formula>
    </cfRule>
    <cfRule type="cellIs" dxfId="43" priority="48" stopIfTrue="1" operator="equal">
      <formula>"Fail"</formula>
    </cfRule>
    <cfRule type="cellIs" dxfId="42" priority="81" stopIfTrue="1" operator="equal">
      <formula>"Pass"</formula>
    </cfRule>
  </conditionalFormatting>
  <conditionalFormatting sqref="H44">
    <cfRule type="cellIs" dxfId="41" priority="14" stopIfTrue="1" operator="equal">
      <formula>"N/A"</formula>
    </cfRule>
    <cfRule type="cellIs" dxfId="40" priority="47" stopIfTrue="1" operator="equal">
      <formula>"Fail"</formula>
    </cfRule>
    <cfRule type="cellIs" dxfId="39" priority="80" stopIfTrue="1" operator="equal">
      <formula>"Pass"</formula>
    </cfRule>
  </conditionalFormatting>
  <conditionalFormatting sqref="H45">
    <cfRule type="cellIs" dxfId="38" priority="13" stopIfTrue="1" operator="equal">
      <formula>"N/A"</formula>
    </cfRule>
    <cfRule type="cellIs" dxfId="37" priority="46" stopIfTrue="1" operator="equal">
      <formula>"Fail"</formula>
    </cfRule>
    <cfRule type="cellIs" dxfId="36" priority="79" stopIfTrue="1" operator="equal">
      <formula>"Pass"</formula>
    </cfRule>
  </conditionalFormatting>
  <conditionalFormatting sqref="H46">
    <cfRule type="cellIs" dxfId="35" priority="12" stopIfTrue="1" operator="equal">
      <formula>"N/A"</formula>
    </cfRule>
    <cfRule type="cellIs" dxfId="34" priority="45" stopIfTrue="1" operator="equal">
      <formula>"Fail"</formula>
    </cfRule>
    <cfRule type="cellIs" dxfId="33" priority="78" stopIfTrue="1" operator="equal">
      <formula>"Pass"</formula>
    </cfRule>
  </conditionalFormatting>
  <conditionalFormatting sqref="H47">
    <cfRule type="cellIs" dxfId="32" priority="11" stopIfTrue="1" operator="equal">
      <formula>"N/A"</formula>
    </cfRule>
    <cfRule type="cellIs" dxfId="31" priority="44" stopIfTrue="1" operator="equal">
      <formula>"Fail"</formula>
    </cfRule>
    <cfRule type="cellIs" dxfId="30" priority="77" stopIfTrue="1" operator="equal">
      <formula>"Pass"</formula>
    </cfRule>
  </conditionalFormatting>
  <conditionalFormatting sqref="H48">
    <cfRule type="cellIs" dxfId="29" priority="10" stopIfTrue="1" operator="equal">
      <formula>"N/A"</formula>
    </cfRule>
    <cfRule type="cellIs" dxfId="28" priority="43" stopIfTrue="1" operator="equal">
      <formula>"Fail"</formula>
    </cfRule>
    <cfRule type="cellIs" dxfId="27" priority="76" stopIfTrue="1" operator="equal">
      <formula>"Pass"</formula>
    </cfRule>
  </conditionalFormatting>
  <conditionalFormatting sqref="H49">
    <cfRule type="cellIs" dxfId="26" priority="9" stopIfTrue="1" operator="equal">
      <formula>"N/A"</formula>
    </cfRule>
    <cfRule type="cellIs" dxfId="25" priority="42" stopIfTrue="1" operator="equal">
      <formula>"Fail"</formula>
    </cfRule>
    <cfRule type="cellIs" dxfId="24" priority="75" stopIfTrue="1" operator="equal">
      <formula>"Pass"</formula>
    </cfRule>
  </conditionalFormatting>
  <conditionalFormatting sqref="H50">
    <cfRule type="cellIs" dxfId="23" priority="8" stopIfTrue="1" operator="equal">
      <formula>"N/A"</formula>
    </cfRule>
    <cfRule type="cellIs" dxfId="22" priority="41" stopIfTrue="1" operator="equal">
      <formula>"Fail"</formula>
    </cfRule>
    <cfRule type="cellIs" dxfId="21" priority="74" stopIfTrue="1" operator="equal">
      <formula>"Pass"</formula>
    </cfRule>
  </conditionalFormatting>
  <conditionalFormatting sqref="H51">
    <cfRule type="cellIs" dxfId="20" priority="7" stopIfTrue="1" operator="equal">
      <formula>"N/A"</formula>
    </cfRule>
    <cfRule type="cellIs" dxfId="19" priority="40" stopIfTrue="1" operator="equal">
      <formula>"Fail"</formula>
    </cfRule>
    <cfRule type="cellIs" dxfId="18" priority="73" stopIfTrue="1" operator="equal">
      <formula>"Pass"</formula>
    </cfRule>
  </conditionalFormatting>
  <conditionalFormatting sqref="H52">
    <cfRule type="cellIs" dxfId="17" priority="6" stopIfTrue="1" operator="equal">
      <formula>"N/A"</formula>
    </cfRule>
    <cfRule type="cellIs" dxfId="16" priority="39" stopIfTrue="1" operator="equal">
      <formula>"Fail"</formula>
    </cfRule>
    <cfRule type="cellIs" dxfId="15" priority="72" stopIfTrue="1" operator="equal">
      <formula>"Pass"</formula>
    </cfRule>
  </conditionalFormatting>
  <conditionalFormatting sqref="H53">
    <cfRule type="cellIs" dxfId="14" priority="5" stopIfTrue="1" operator="equal">
      <formula>"N/A"</formula>
    </cfRule>
    <cfRule type="cellIs" dxfId="13" priority="38" stopIfTrue="1" operator="equal">
      <formula>"Fail"</formula>
    </cfRule>
    <cfRule type="cellIs" dxfId="12" priority="71" stopIfTrue="1" operator="equal">
      <formula>"Pass"</formula>
    </cfRule>
  </conditionalFormatting>
  <conditionalFormatting sqref="H54">
    <cfRule type="cellIs" dxfId="11" priority="4" stopIfTrue="1" operator="equal">
      <formula>"N/A"</formula>
    </cfRule>
    <cfRule type="cellIs" dxfId="10" priority="37" stopIfTrue="1" operator="equal">
      <formula>"Fail"</formula>
    </cfRule>
    <cfRule type="cellIs" dxfId="9" priority="70" stopIfTrue="1" operator="equal">
      <formula>"Pass"</formula>
    </cfRule>
  </conditionalFormatting>
  <conditionalFormatting sqref="H55">
    <cfRule type="cellIs" dxfId="8" priority="3" stopIfTrue="1" operator="equal">
      <formula>"N/A"</formula>
    </cfRule>
    <cfRule type="cellIs" dxfId="7" priority="36" stopIfTrue="1" operator="equal">
      <formula>"Fail"</formula>
    </cfRule>
    <cfRule type="cellIs" dxfId="6" priority="69" stopIfTrue="1" operator="equal">
      <formula>"Pass"</formula>
    </cfRule>
  </conditionalFormatting>
  <conditionalFormatting sqref="H56">
    <cfRule type="cellIs" dxfId="5" priority="2" stopIfTrue="1" operator="equal">
      <formula>"N/A"</formula>
    </cfRule>
    <cfRule type="cellIs" dxfId="4" priority="35" stopIfTrue="1" operator="equal">
      <formula>"Fail"</formula>
    </cfRule>
    <cfRule type="cellIs" dxfId="3" priority="68" stopIfTrue="1" operator="equal">
      <formula>"Pass"</formula>
    </cfRule>
  </conditionalFormatting>
  <conditionalFormatting sqref="H57">
    <cfRule type="cellIs" dxfId="2" priority="1" stopIfTrue="1" operator="equal">
      <formula>"N/A"</formula>
    </cfRule>
    <cfRule type="cellIs" dxfId="1" priority="34" stopIfTrue="1" operator="equal">
      <formula>"Fail"</formula>
    </cfRule>
    <cfRule type="cellIs" dxfId="0" priority="67" stopIfTrue="1" operator="equal">
      <formula>"Pass"</formula>
    </cfRule>
  </conditionalFormatting>
  <dataValidations count="1">
    <dataValidation type="list" allowBlank="1" showInputMessage="1" showErrorMessage="1" sqref="H8:H57" xr:uid="{00000000-0002-0000-0000-000000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2026-02-11T02:16:04Z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