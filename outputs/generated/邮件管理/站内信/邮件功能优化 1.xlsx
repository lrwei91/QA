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邮件功能优化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<sst xmlns="http://schemas.openxmlformats.org/spreadsheetml/2006/main" count="122" uniqueCount="102">
  <si>
    <t xml:space="preserve"> 邮件功能优化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</si>
  <si>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</si>
  <si>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</si>
  <si>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</si>
  <si>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</si>
  <si>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</si>
  <si>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</si>
  <si>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</si>
  <si>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</si>
  <si>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</si>
  <si>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</si>
  <si>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</si>
  <si>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</si>
  <si>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</si>
  <si>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</si>
  <si>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</si>
  <si>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</si>
  <si>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</si>
  <si>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</si>
  <si>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</si>
  <si>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</si>
  <si>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</si>
  <si>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</si>
  <si>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账服</t>
  </si>
  <si>
    <t>邮件渠道</t>
  </si>
  <si>
    <t>新增渠道-发件人名称字段</t>
  </si>
  <si>
    <t>1. 管理员已登录
2. 拥有邮件渠道管理权限</t>
  </si>
  <si>
    <t>1. 进入邮件管理-邮件渠道
2. 点击【新增】按钮</t>
  </si>
  <si>
    <t>新增渠道表单中包含“发件人名称”输入字段，默认值为空</t>
  </si>
  <si>
    <t>pass</t>
  </si>
  <si>
    <t>新增渠道-发件人名称输入</t>
  </si>
  <si>
    <t>1. 管理员已登录
2. 进入新增邮件渠道页面</t>
  </si>
  <si>
    <t>1. 在“发件人名称”字段输入“test123123”
2. 完成其他必填项并保存</t>
  </si>
  <si>
    <t>渠道创建成功，发件人名称保存为“test123123”</t>
  </si>
  <si>
    <t>编辑渠道-发件人名称显示</t>
  </si>
  <si>
    <t>1. 管理员已登录
2. 存在已配置发件人名称的邮件渠道</t>
  </si>
  <si>
    <t>1. 进入邮件渠道列表
2. 点击某渠道的【编辑】</t>
  </si>
  <si>
    <t>编辑页面中“发件人名称”字段显示已保存的值</t>
  </si>
  <si>
    <t>编辑渠道-修改发件人名称</t>
  </si>
  <si>
    <t>1. 管理员已登录
2. 进入编辑某邮件渠道页面</t>
  </si>
  <si>
    <t>1. 修改“发件人名称”字段内容
2. 点击保存</t>
  </si>
  <si>
    <t>发件人名称修改成功</t>
  </si>
  <si>
    <t>保存逻辑-字段清空</t>
  </si>
  <si>
    <t>1. 管理员已登录
2. 进入编辑某邮件渠道页面
3. 当前有发件人名称</t>
  </si>
  <si>
    <t>1. 清空“发件人名称”字段
2. 点击保存</t>
  </si>
  <si>
    <t>保存成功，发件人名称被清空，邮件发送时取真实发件人名称</t>
  </si>
  <si>
    <t>原取消订阅按钮文本字段移除</t>
  </si>
  <si>
    <t>进入邮件渠道的新增或编辑页面</t>
  </si>
  <si>
    <t>页面中不再有“取消订阅按钮文本”相关配置字段</t>
  </si>
  <si>
    <t>发送任务</t>
  </si>
  <si>
    <t>新增任务-取消订阅按钮文本字段</t>
  </si>
  <si>
    <t>1. 管理员已登录
2. 拥有发送任务权限</t>
  </si>
  <si>
    <t>1. 进入邮件管理-发送任务
2. 点击【添加任务】</t>
  </si>
  <si>
    <t>任务表单中包含“取消订阅按钮文本”输入字段，默认值为空</t>
  </si>
  <si>
    <t>编辑任务-取消订阅按钮文本字段</t>
  </si>
  <si>
    <t>1. 管理员已登录
2. 存在历史发送任务</t>
  </si>
  <si>
    <t>1. 进入发送任务列表
2. 点击某任务的【编辑】</t>
  </si>
  <si>
    <t>编辑页面中显示“取消订阅按钮文本”字段，内容为历史配置值</t>
  </si>
  <si>
    <t>邮件发送-使用配置的发件人名称</t>
  </si>
  <si>
    <t>1. 管理员已登录
2. 邮件渠道配置了发件人名称“test123123”
3. 创建并发送邮件任务</t>
  </si>
  <si>
    <t>1. 发送邮件
2. 查看收件箱</t>
  </si>
  <si>
    <t>邮件发件人显示为“test123123”格式</t>
  </si>
  <si>
    <t>邮件发送-发件人名称为空</t>
  </si>
  <si>
    <t>1. 管理员已登录
2. 邮件渠道未配置发件人名称
3. 创建并发送邮件任务</t>
  </si>
  <si>
    <t>邮件发件人显示为真实邮箱地址，如“no-reply@bbadev.cc”</t>
  </si>
  <si>
    <t>邮件发送-使用任务配置的取消订阅文本</t>
  </si>
  <si>
    <t>1. 管理员已登录
2. 创建邮件任务时配置取消订阅文本为“email_test”
3. 发送邮件</t>
  </si>
  <si>
    <t>邮件中包含取消订阅链接，链接文本显示为“email_test”</t>
  </si>
  <si>
    <t>邮件发送-取消订阅文本为空</t>
  </si>
  <si>
    <t>1. 管理员已登录
2. 创建邮件任务时未配置取消订阅文本
3. 发送邮件</t>
  </si>
  <si>
    <t>邮件中包含取消订阅链接，链接显示为默认链接</t>
  </si>
  <si>
    <t>邮箱列表</t>
  </si>
  <si>
    <t>注册未勾选订阅-状态显示</t>
  </si>
  <si>
    <t>1. 新用户注册账号
2. 注册时未勾选“接收邮件订阅”选项</t>
  </si>
  <si>
    <t>1. 管理员进入邮件管理-邮箱列表
2. 搜索该用户邮箱</t>
  </si>
  <si>
    <t>该邮箱记录状态为“未订阅”，来源为“注册”</t>
  </si>
  <si>
    <t>用户点击取消订阅链接-状态变更</t>
  </si>
  <si>
    <t>1. 用户已订阅邮件
2. 用户点击了某封邮件中的取消订阅链接</t>
  </si>
  <si>
    <t>1. 管理员查看邮箱列表
2. 搜索该用户邮箱</t>
  </si>
  <si>
    <t>该邮箱记录状态更新为“取消订阅”，来源可能更新为“AWS返回事件”</t>
  </si>
  <si>
    <t>邮箱列表新增“未订阅”筛选</t>
  </si>
  <si>
    <t>1. 管理员已登录
2. 邮箱列表中存在不同状态的邮箱</t>
  </si>
  <si>
    <t>1. 进入邮箱列表
2. 在“邮箱状态”筛选中选择“未订阅”</t>
  </si>
  <si>
    <t>列表只显示状态为“未订阅”的邮箱记录</t>
  </si>
  <si>
    <t>邮箱列表新增“注册”来源筛选</t>
  </si>
  <si>
    <t>1. 进入邮箱列表
2. 在“来源”筛选中选择“注册”</t>
  </si>
  <si>
    <t>列表只显示来源为“注册”的邮箱记录</t>
  </si>
  <si>
    <t>是否统计开关-开启状态</t>
  </si>
  <si>
    <t>1. 管理员已登录
2. 进入邮箱列表页面
3. 将“是否统计”开关开启</t>
  </si>
  <si>
    <t>查看页面统计信息区域</t>
  </si>
  <si>
    <t>页面显示“未订阅数量”的统计结果</t>
  </si>
  <si>
    <t>是否统计开关-关闭状态</t>
  </si>
  <si>
    <t>1. 管理员已登录
2. 进入邮箱列表页面
3. 将“是否统计”开关关闭</t>
  </si>
  <si>
    <t>页面不显示“未订阅数量”的统计结果</t>
  </si>
  <si>
    <t>未订阅数量统计准确性</t>
  </si>
  <si>
    <t>1. 邮箱列表中存在95个状态为“未订阅”的邮箱
2. “是否统计”开关开启</t>
  </si>
  <si>
    <t>进入邮箱列表页面</t>
  </si>
  <si>
    <t>页面统计信息中显示的未订阅数量为95</t>
  </si>
  <si>
    <t>导出功能包含新字段</t>
  </si>
  <si>
    <t>1. 管理员已登录
2. 邮箱列表中存在不同状态和来源的记录</t>
  </si>
  <si>
    <t>1. 点击【导出】按钮
2. 打开导出的文件</t>
  </si>
  <si>
    <t>导出文件包含“邮箱状态”、“来源”字段，且数据正确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</si>
</sst>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F1115"/>
      <name val="宋体"/>
      <charset val="134"/>
    </font>
    <font>
      <sz val="12"/>
      <color rgb="FF0F1115"/>
      <name val="宋体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6" applyNumberFormat="0" applyAlignment="0" applyProtection="0">
      <alignment vertical="center"/>
    </xf>
    <xf numFmtId="0" fontId="21" fillId="10" borderId="17" applyNumberFormat="0" applyAlignment="0" applyProtection="0">
      <alignment vertical="center"/>
    </xf>
    <xf numFmtId="0" fontId="22" fillId="10" borderId="16" applyNumberFormat="0" applyAlignment="0" applyProtection="0">
      <alignment vertical="center"/>
    </xf>
    <xf numFmtId="0" fontId="23" fillId="11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14" fontId="4" fillId="4" borderId="4" xfId="49" applyNumberFormat="1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49" applyNumberFormat="1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7" xfId="49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49" applyNumberFormat="1" applyFont="1" applyFill="1" applyBorder="1" applyAlignment="1">
      <alignment horizontal="left" vertical="center"/>
    </xf>
    <xf numFmtId="0" fontId="6" fillId="4" borderId="2" xfId="49" applyFont="1" applyFill="1" applyBorder="1" applyAlignment="1">
      <alignment horizontal="center" vertical="center"/>
    </xf>
    <xf numFmtId="0" fontId="6" fillId="4" borderId="7" xfId="49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>
      <alignment vertical="center"/>
    </xf>
    <xf numFmtId="0" fontId="3" fillId="5" borderId="7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left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left" vertical="center" wrapText="1"/>
    </xf>
    <xf numFmtId="0" fontId="11" fillId="0" borderId="11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1143635</xdr:colOff>
      <xdr:row>7</xdr:row>
      <xdr:rowOff>142240</xdr:rowOff>
    </xdr:from>
    <xdr:to>
      <xdr:col>8</xdr:col>
      <xdr:colOff>2362200</xdr:colOff>
      <xdr:row>8</xdr:row>
      <xdr:rowOff>307975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41710" y="1523365"/>
          <a:ext cx="1218565" cy="610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665480</xdr:colOff>
      <xdr:row>9</xdr:row>
      <xdr:rowOff>100965</xdr:rowOff>
    </xdr:from>
    <xdr:to>
      <xdr:col>8</xdr:col>
      <xdr:colOff>1866900</xdr:colOff>
      <xdr:row>10</xdr:row>
      <xdr:rowOff>254000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363555" y="2371090"/>
          <a:ext cx="1201420" cy="597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809625</xdr:colOff>
      <xdr:row>11</xdr:row>
      <xdr:rowOff>130175</xdr:rowOff>
    </xdr:from>
    <xdr:to>
      <xdr:col>8</xdr:col>
      <xdr:colOff>2011045</xdr:colOff>
      <xdr:row>12</xdr:row>
      <xdr:rowOff>283210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507700" y="3289300"/>
          <a:ext cx="1201420" cy="597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1153795</xdr:colOff>
      <xdr:row>16</xdr:row>
      <xdr:rowOff>100330</xdr:rowOff>
    </xdr:from>
    <xdr:to>
      <xdr:col>8</xdr:col>
      <xdr:colOff>1924050</xdr:colOff>
      <xdr:row>17</xdr:row>
      <xdr:rowOff>114300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851870" y="5481955"/>
          <a:ext cx="770255" cy="458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895350</xdr:colOff>
      <xdr:row>13</xdr:row>
      <xdr:rowOff>158750</xdr:rowOff>
    </xdr:from>
    <xdr:to>
      <xdr:col>8</xdr:col>
      <xdr:colOff>2096770</xdr:colOff>
      <xdr:row>14</xdr:row>
      <xdr:rowOff>311785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593425" y="4206875"/>
          <a:ext cx="1201420" cy="597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857250</xdr:colOff>
      <xdr:row>18</xdr:row>
      <xdr:rowOff>447040</xdr:rowOff>
    </xdr:from>
    <xdr:to>
      <xdr:col>8</xdr:col>
      <xdr:colOff>1743075</xdr:colOff>
      <xdr:row>18</xdr:row>
      <xdr:rowOff>990600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555325" y="6717665"/>
          <a:ext cx="885825" cy="543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889635</xdr:colOff>
      <xdr:row>19</xdr:row>
      <xdr:rowOff>201930</xdr:rowOff>
    </xdr:from>
    <xdr:to>
      <xdr:col>8</xdr:col>
      <xdr:colOff>1590675</xdr:colOff>
      <xdr:row>20</xdr:row>
      <xdr:rowOff>200025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587710" y="7704455"/>
          <a:ext cx="701040" cy="442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1320165</xdr:colOff>
      <xdr:row>21</xdr:row>
      <xdr:rowOff>250190</xdr:rowOff>
    </xdr:from>
    <xdr:to>
      <xdr:col>8</xdr:col>
      <xdr:colOff>2009775</xdr:colOff>
      <xdr:row>22</xdr:row>
      <xdr:rowOff>149225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018240" y="8641715"/>
          <a:ext cx="689610" cy="457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756920</xdr:colOff>
      <xdr:row>26</xdr:row>
      <xdr:rowOff>368300</xdr:rowOff>
    </xdr:from>
    <xdr:to>
      <xdr:col>8</xdr:col>
      <xdr:colOff>2190750</xdr:colOff>
      <xdr:row>28</xdr:row>
      <xdr:rowOff>101600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454995" y="11223625"/>
          <a:ext cx="1433830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789305</xdr:colOff>
      <xdr:row>23</xdr:row>
      <xdr:rowOff>409575</xdr:rowOff>
    </xdr:from>
    <xdr:to>
      <xdr:col>8</xdr:col>
      <xdr:colOff>1905000</xdr:colOff>
      <xdr:row>25</xdr:row>
      <xdr:rowOff>215900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487380" y="9931400"/>
          <a:ext cx="1115695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949960</xdr:colOff>
      <xdr:row>29</xdr:row>
      <xdr:rowOff>406400</xdr:rowOff>
    </xdr:from>
    <xdr:to>
      <xdr:col>8</xdr:col>
      <xdr:colOff>2028825</xdr:colOff>
      <xdr:row>31</xdr:row>
      <xdr:rowOff>98425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648035" y="12595225"/>
          <a:ext cx="1078865" cy="58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714375</xdr:colOff>
      <xdr:row>32</xdr:row>
      <xdr:rowOff>396875</xdr:rowOff>
    </xdr:from>
    <xdr:to>
      <xdr:col>8</xdr:col>
      <xdr:colOff>2085975</xdr:colOff>
      <xdr:row>34</xdr:row>
      <xdr:rowOff>92075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412450" y="13919200"/>
          <a:ext cx="1371600" cy="584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799465</xdr:colOff>
      <xdr:row>35</xdr:row>
      <xdr:rowOff>249555</xdr:rowOff>
    </xdr:from>
    <xdr:to>
      <xdr:col>8</xdr:col>
      <xdr:colOff>1885950</xdr:colOff>
      <xdr:row>36</xdr:row>
      <xdr:rowOff>254000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497540" y="15105380"/>
          <a:ext cx="108648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766445</xdr:colOff>
      <xdr:row>37</xdr:row>
      <xdr:rowOff>121285</xdr:rowOff>
    </xdr:from>
    <xdr:to>
      <xdr:col>8</xdr:col>
      <xdr:colOff>2143125</xdr:colOff>
      <xdr:row>38</xdr:row>
      <xdr:rowOff>295275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464520" y="15866110"/>
          <a:ext cx="1376680" cy="61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769620</xdr:colOff>
      <xdr:row>39</xdr:row>
      <xdr:rowOff>233680</xdr:rowOff>
    </xdr:from>
    <xdr:to>
      <xdr:col>8</xdr:col>
      <xdr:colOff>1638300</xdr:colOff>
      <xdr:row>40</xdr:row>
      <xdr:rowOff>307975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3467695" y="16867505"/>
          <a:ext cx="868680" cy="518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923290</xdr:colOff>
      <xdr:row>41</xdr:row>
      <xdr:rowOff>207645</xdr:rowOff>
    </xdr:from>
    <xdr:to>
      <xdr:col>8</xdr:col>
      <xdr:colOff>2038350</xdr:colOff>
      <xdr:row>42</xdr:row>
      <xdr:rowOff>327025</xdr:rowOff>
    </xdr:to>
    <xdr:pic>
      <xdr:nvPicPr>
        <xdr:cNvPr id="17" name="图片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621365" y="17730470"/>
          <a:ext cx="1115060" cy="56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43</xdr:row>
      <xdr:rowOff>415925</xdr:rowOff>
    </xdr:from>
    <xdr:to>
      <xdr:col>8</xdr:col>
      <xdr:colOff>1554480</xdr:colOff>
      <xdr:row>45</xdr:row>
      <xdr:rowOff>45720</xdr:rowOff>
    </xdr:to>
    <xdr:pic>
      <xdr:nvPicPr>
        <xdr:cNvPr id="18" name="图片 1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3383875" y="18827750"/>
          <a:ext cx="868680" cy="518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646430</xdr:colOff>
      <xdr:row>46</xdr:row>
      <xdr:rowOff>484505</xdr:rowOff>
    </xdr:from>
    <xdr:to>
      <xdr:col>8</xdr:col>
      <xdr:colOff>2152650</xdr:colOff>
      <xdr:row>47</xdr:row>
      <xdr:rowOff>548640</xdr:rowOff>
    </xdr:to>
    <xdr:pic>
      <xdr:nvPicPr>
        <xdr:cNvPr id="19" name="图片 1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3344505" y="20229830"/>
          <a:ext cx="1506220" cy="635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704215</xdr:colOff>
      <xdr:row>49</xdr:row>
      <xdr:rowOff>267970</xdr:rowOff>
    </xdr:from>
    <xdr:to>
      <xdr:col>8</xdr:col>
      <xdr:colOff>1876425</xdr:colOff>
      <xdr:row>50</xdr:row>
      <xdr:rowOff>295275</xdr:rowOff>
    </xdr:to>
    <xdr:pic>
      <xdr:nvPicPr>
        <xdr:cNvPr id="20" name="图片 1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3402290" y="21727795"/>
          <a:ext cx="1172210" cy="598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960755</xdr:colOff>
      <xdr:row>51</xdr:row>
      <xdr:rowOff>342265</xdr:rowOff>
    </xdr:from>
    <xdr:to>
      <xdr:col>8</xdr:col>
      <xdr:colOff>2019300</xdr:colOff>
      <xdr:row>52</xdr:row>
      <xdr:rowOff>361950</xdr:rowOff>
    </xdr:to>
    <xdr:pic>
      <xdr:nvPicPr>
        <xdr:cNvPr id="21" name="图片 2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3658830" y="22945090"/>
          <a:ext cx="1058545" cy="5911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tabSelected="1" workbookViewId="0">
      <pane ySplit="7" topLeftCell="A47" activePane="bottomLeft" state="frozen"/>
      <selection/>
      <selection pane="bottomLeft" activeCell="D52" sqref="D52:D53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1" customWidth="1"/>
    <col min="9" max="9" width="36.125" style="1" customWidth="1"/>
    <col min="10" max="16384" width="9" style="1"/>
  </cols>
  <sheetData>
    <row r="1" s="1" customFormat="1" ht="16.5" customHeight="1" spans="1:9">
      <c r="A1" s="3" t="s">
        <v>0</v>
      </c>
      <c r="B1" s="4"/>
      <c r="C1" s="4"/>
      <c r="D1" s="4"/>
      <c r="E1" s="4"/>
      <c r="F1" s="4"/>
      <c r="G1" s="5" t="s">
        <v>1</v>
      </c>
      <c r="H1" s="6">
        <f>H2+H3+H4</f>
        <v>20</v>
      </c>
      <c r="I1" s="7"/>
    </row>
    <row r="2" s="1" customFormat="1" spans="1:9">
      <c r="A2" s="8" t="s">
        <v>2</v>
      </c>
      <c r="B2" s="9"/>
      <c r="C2" s="10"/>
      <c r="D2" s="10"/>
      <c r="E2" s="11" t="s">
        <v>3</v>
      </c>
      <c r="F2" s="12">
        <v>46041</v>
      </c>
      <c r="G2" s="13" t="s">
        <v>4</v>
      </c>
      <c r="H2" s="14">
        <f>COUNTIF(H8:H221,"Pass")</f>
        <v>20</v>
      </c>
      <c r="I2" s="7"/>
    </row>
    <row r="3" s="1" customFormat="1" ht="16.5" customHeight="1" spans="1:9">
      <c r="A3" s="15" t="s">
        <v>5</v>
      </c>
      <c r="B3" s="9"/>
      <c r="C3" s="10"/>
      <c r="D3" s="10"/>
      <c r="E3" s="16" t="s">
        <v>6</v>
      </c>
      <c r="F3" s="17"/>
      <c r="G3" s="18" t="s">
        <v>7</v>
      </c>
      <c r="H3" s="19">
        <f>COUNTIF(H8:H221,"Fail")</f>
        <v>0</v>
      </c>
      <c r="I3" s="7"/>
    </row>
    <row r="4" s="1" customFormat="1" ht="16.5" customHeight="1" spans="1:9">
      <c r="A4" s="20" t="s">
        <v>8</v>
      </c>
      <c r="B4" s="21"/>
      <c r="C4" s="10"/>
      <c r="D4" s="10"/>
      <c r="E4" s="22" t="s">
        <v>9</v>
      </c>
      <c r="F4" s="23"/>
      <c r="G4" s="24" t="s">
        <v>10</v>
      </c>
      <c r="H4" s="25">
        <f>COUNTIF(H8:H221,"N/A")</f>
        <v>0</v>
      </c>
      <c r="I4" s="7"/>
    </row>
    <row r="5" s="1" customFormat="1" ht="16.5" customHeight="1" spans="1:9">
      <c r="A5" s="15" t="s">
        <v>11</v>
      </c>
      <c r="B5" s="9"/>
      <c r="C5" s="10"/>
      <c r="D5" s="10"/>
      <c r="E5" s="16" t="s">
        <v>12</v>
      </c>
      <c r="F5" s="26"/>
      <c r="G5" s="7"/>
      <c r="H5" s="27"/>
      <c r="I5" s="7"/>
    </row>
    <row r="6" s="1" customFormat="1" spans="1:9">
      <c r="A6" s="28" t="s">
        <v>13</v>
      </c>
      <c r="B6" s="29"/>
      <c r="C6" s="30"/>
      <c r="D6" s="31"/>
      <c r="E6" s="32"/>
      <c r="F6" s="32"/>
      <c r="G6" s="33"/>
      <c r="H6" s="27"/>
      <c r="I6" s="7"/>
    </row>
    <row r="7" customHeight="1" spans="1:9">
      <c r="A7" s="34" t="s">
        <v>14</v>
      </c>
      <c r="B7" s="34" t="s">
        <v>15</v>
      </c>
      <c r="C7" s="34" t="s">
        <v>16</v>
      </c>
      <c r="D7" s="34" t="s">
        <v>17</v>
      </c>
      <c r="E7" s="34" t="s">
        <v>18</v>
      </c>
      <c r="F7" s="34" t="s">
        <v>19</v>
      </c>
      <c r="G7" s="34" t="s">
        <v>20</v>
      </c>
      <c r="H7" s="34" t="s">
        <v>21</v>
      </c>
      <c r="I7" s="34" t="s">
        <v>22</v>
      </c>
    </row>
    <row r="8" ht="35" customHeight="1" spans="1:9">
      <c r="A8" s="35">
        <v>1</v>
      </c>
      <c r="B8" s="36" t="s">
        <v>23</v>
      </c>
      <c r="C8" s="36" t="s">
        <v>24</v>
      </c>
      <c r="D8" s="37" t="s">
        <v>25</v>
      </c>
      <c r="E8" s="38" t="s">
        <v>26</v>
      </c>
      <c r="F8" s="38" t="s">
        <v>27</v>
      </c>
      <c r="G8" s="37" t="s">
        <v>28</v>
      </c>
      <c r="H8" s="39" t="s">
        <v>29</v>
      </c>
      <c r="I8" s="40"/>
    </row>
    <row r="9" ht="35" customHeight="1" spans="1:9">
      <c r="A9" s="35"/>
      <c r="B9" s="41"/>
      <c r="C9" s="41"/>
      <c r="D9" s="37"/>
      <c r="E9" s="42"/>
      <c r="F9" s="42"/>
      <c r="G9" s="37"/>
      <c r="H9" s="43"/>
      <c r="I9" s="44"/>
    </row>
    <row r="10" ht="35" customHeight="1" spans="1:9">
      <c r="A10" s="35">
        <v>2</v>
      </c>
      <c r="B10" s="41"/>
      <c r="C10" s="41"/>
      <c r="D10" s="37" t="s">
        <v>30</v>
      </c>
      <c r="E10" s="38" t="s">
        <v>31</v>
      </c>
      <c r="F10" s="38" t="s">
        <v>32</v>
      </c>
      <c r="G10" s="37" t="s">
        <v>33</v>
      </c>
      <c r="H10" s="39" t="s">
        <v>29</v>
      </c>
      <c r="I10" s="45"/>
    </row>
    <row r="11" ht="35" customHeight="1" spans="1:9">
      <c r="A11" s="35"/>
      <c r="B11" s="41"/>
      <c r="C11" s="41"/>
      <c r="D11" s="37"/>
      <c r="E11" s="42"/>
      <c r="F11" s="42"/>
      <c r="G11" s="37"/>
      <c r="H11" s="43"/>
      <c r="I11" s="46"/>
    </row>
    <row r="12" ht="35" customHeight="1" spans="1:9">
      <c r="A12" s="35">
        <v>3</v>
      </c>
      <c r="B12" s="41"/>
      <c r="C12" s="41"/>
      <c r="D12" s="37" t="s">
        <v>34</v>
      </c>
      <c r="E12" s="38" t="s">
        <v>35</v>
      </c>
      <c r="F12" s="38" t="s">
        <v>36</v>
      </c>
      <c r="G12" s="37" t="s">
        <v>37</v>
      </c>
      <c r="H12" s="39" t="s">
        <v>29</v>
      </c>
      <c r="I12" s="40"/>
    </row>
    <row r="13" ht="35" customHeight="1" spans="1:9">
      <c r="A13" s="35"/>
      <c r="B13" s="41"/>
      <c r="C13" s="41"/>
      <c r="D13" s="37"/>
      <c r="E13" s="42"/>
      <c r="F13" s="42"/>
      <c r="G13" s="37"/>
      <c r="H13" s="43"/>
      <c r="I13" s="44"/>
    </row>
    <row r="14" ht="35" customHeight="1" spans="1:9">
      <c r="A14" s="35">
        <v>4</v>
      </c>
      <c r="B14" s="41"/>
      <c r="C14" s="41"/>
      <c r="D14" s="37" t="s">
        <v>38</v>
      </c>
      <c r="E14" s="38" t="s">
        <v>39</v>
      </c>
      <c r="F14" s="38" t="s">
        <v>40</v>
      </c>
      <c r="G14" s="37" t="s">
        <v>41</v>
      </c>
      <c r="H14" s="39" t="s">
        <v>29</v>
      </c>
      <c r="I14" s="47"/>
    </row>
    <row r="15" ht="35" customHeight="1" spans="1:9">
      <c r="A15" s="35"/>
      <c r="B15" s="41"/>
      <c r="C15" s="41"/>
      <c r="D15" s="37"/>
      <c r="E15" s="42"/>
      <c r="F15" s="42"/>
      <c r="G15" s="37"/>
      <c r="H15" s="43"/>
      <c r="I15" s="48"/>
    </row>
    <row r="16" ht="35" customHeight="1" spans="1:9">
      <c r="A16" s="35">
        <v>5</v>
      </c>
      <c r="B16" s="41"/>
      <c r="C16" s="41"/>
      <c r="D16" s="37" t="s">
        <v>42</v>
      </c>
      <c r="E16" s="38" t="s">
        <v>43</v>
      </c>
      <c r="F16" s="38" t="s">
        <v>44</v>
      </c>
      <c r="G16" s="37" t="s">
        <v>45</v>
      </c>
      <c r="H16" s="39" t="s">
        <v>29</v>
      </c>
      <c r="I16" s="47"/>
    </row>
    <row r="17" ht="35" customHeight="1" spans="1:9">
      <c r="A17" s="35"/>
      <c r="B17" s="41"/>
      <c r="C17" s="41"/>
      <c r="D17" s="37"/>
      <c r="E17" s="49"/>
      <c r="F17" s="49"/>
      <c r="G17" s="37"/>
      <c r="H17" s="50"/>
      <c r="I17" s="51"/>
    </row>
    <row r="18" ht="35" customHeight="1" spans="1:9">
      <c r="A18" s="35"/>
      <c r="B18" s="41"/>
      <c r="C18" s="41"/>
      <c r="D18" s="37"/>
      <c r="E18" s="42"/>
      <c r="F18" s="42"/>
      <c r="G18" s="37"/>
      <c r="H18" s="43"/>
      <c r="I18" s="48"/>
    </row>
    <row r="19" ht="97" customHeight="1" spans="1:9">
      <c r="A19" s="35">
        <v>6</v>
      </c>
      <c r="B19" s="41"/>
      <c r="C19" s="52"/>
      <c r="D19" s="37" t="s">
        <v>46</v>
      </c>
      <c r="E19" s="53" t="s">
        <v>39</v>
      </c>
      <c r="F19" s="37" t="s">
        <v>47</v>
      </c>
      <c r="G19" s="37" t="s">
        <v>48</v>
      </c>
      <c r="H19" s="54" t="s">
        <v>29</v>
      </c>
      <c r="I19" s="55"/>
    </row>
    <row r="20" ht="35" customHeight="1" spans="1:9">
      <c r="A20" s="35">
        <v>7</v>
      </c>
      <c r="B20" s="41"/>
      <c r="C20" s="36" t="s">
        <v>49</v>
      </c>
      <c r="D20" s="37" t="s">
        <v>50</v>
      </c>
      <c r="E20" s="38" t="s">
        <v>51</v>
      </c>
      <c r="F20" s="38" t="s">
        <v>52</v>
      </c>
      <c r="G20" s="37" t="s">
        <v>53</v>
      </c>
      <c r="H20" s="39" t="s">
        <v>29</v>
      </c>
      <c r="I20" s="47"/>
    </row>
    <row r="21" ht="35" customHeight="1" spans="1:9">
      <c r="A21" s="35"/>
      <c r="B21" s="41"/>
      <c r="C21" s="41"/>
      <c r="D21" s="37"/>
      <c r="E21" s="42"/>
      <c r="F21" s="42"/>
      <c r="G21" s="37"/>
      <c r="H21" s="43"/>
      <c r="I21" s="48"/>
    </row>
    <row r="22" ht="44" customHeight="1" spans="1:9">
      <c r="A22" s="35">
        <v>8</v>
      </c>
      <c r="B22" s="41"/>
      <c r="C22" s="41"/>
      <c r="D22" s="37" t="s">
        <v>54</v>
      </c>
      <c r="E22" s="38" t="s">
        <v>55</v>
      </c>
      <c r="F22" s="38" t="s">
        <v>56</v>
      </c>
      <c r="G22" s="37" t="s">
        <v>57</v>
      </c>
      <c r="H22" s="39" t="s">
        <v>29</v>
      </c>
      <c r="I22" s="47"/>
    </row>
    <row r="23" ht="45" customHeight="1" spans="1:9">
      <c r="A23" s="35"/>
      <c r="B23" s="41"/>
      <c r="C23" s="41"/>
      <c r="D23" s="37"/>
      <c r="E23" s="42"/>
      <c r="F23" s="42"/>
      <c r="G23" s="37"/>
      <c r="H23" s="43"/>
      <c r="I23" s="48"/>
    </row>
    <row r="24" ht="35" customHeight="1" spans="1:9">
      <c r="A24" s="35">
        <v>9</v>
      </c>
      <c r="B24" s="41"/>
      <c r="C24" s="41"/>
      <c r="D24" s="37" t="s">
        <v>58</v>
      </c>
      <c r="E24" s="38" t="s">
        <v>59</v>
      </c>
      <c r="F24" s="38" t="s">
        <v>60</v>
      </c>
      <c r="G24" s="37" t="s">
        <v>61</v>
      </c>
      <c r="H24" s="39" t="s">
        <v>4</v>
      </c>
      <c r="I24" s="47"/>
    </row>
    <row r="25" ht="35" customHeight="1" spans="1:9">
      <c r="A25" s="35"/>
      <c r="B25" s="41"/>
      <c r="C25" s="41"/>
      <c r="D25" s="37"/>
      <c r="E25" s="49"/>
      <c r="F25" s="49"/>
      <c r="G25" s="37"/>
      <c r="H25" s="50"/>
      <c r="I25" s="51"/>
    </row>
    <row r="26" ht="35" customHeight="1" spans="1:9">
      <c r="A26" s="35"/>
      <c r="B26" s="41"/>
      <c r="C26" s="41"/>
      <c r="D26" s="37"/>
      <c r="E26" s="42"/>
      <c r="F26" s="49"/>
      <c r="G26" s="37"/>
      <c r="H26" s="43"/>
      <c r="I26" s="48"/>
    </row>
    <row r="27" ht="35" customHeight="1" spans="1:9">
      <c r="A27" s="35">
        <v>10</v>
      </c>
      <c r="B27" s="41"/>
      <c r="C27" s="41"/>
      <c r="D27" s="37" t="s">
        <v>62</v>
      </c>
      <c r="E27" s="38" t="s">
        <v>63</v>
      </c>
      <c r="F27" s="49"/>
      <c r="G27" s="37" t="s">
        <v>64</v>
      </c>
      <c r="H27" s="39" t="s">
        <v>4</v>
      </c>
      <c r="I27" s="47"/>
    </row>
    <row r="28" ht="35" customHeight="1" spans="1:9">
      <c r="A28" s="35"/>
      <c r="B28" s="41"/>
      <c r="C28" s="41"/>
      <c r="D28" s="37"/>
      <c r="E28" s="49"/>
      <c r="F28" s="49"/>
      <c r="G28" s="37"/>
      <c r="H28" s="50"/>
      <c r="I28" s="51"/>
    </row>
    <row r="29" ht="35" customHeight="1" spans="1:9">
      <c r="A29" s="35"/>
      <c r="B29" s="41"/>
      <c r="C29" s="41"/>
      <c r="D29" s="37"/>
      <c r="E29" s="42"/>
      <c r="F29" s="49"/>
      <c r="G29" s="37"/>
      <c r="H29" s="43"/>
      <c r="I29" s="48"/>
    </row>
    <row r="30" ht="35" customHeight="1" spans="1:9">
      <c r="A30" s="35">
        <v>11</v>
      </c>
      <c r="B30" s="41"/>
      <c r="C30" s="41"/>
      <c r="D30" s="37" t="s">
        <v>65</v>
      </c>
      <c r="E30" s="38" t="s">
        <v>66</v>
      </c>
      <c r="F30" s="49"/>
      <c r="G30" s="37" t="s">
        <v>67</v>
      </c>
      <c r="H30" s="39" t="s">
        <v>4</v>
      </c>
      <c r="I30" s="56"/>
    </row>
    <row r="31" ht="35" customHeight="1" spans="1:9">
      <c r="A31" s="35"/>
      <c r="B31" s="41"/>
      <c r="C31" s="41"/>
      <c r="D31" s="37"/>
      <c r="E31" s="49"/>
      <c r="F31" s="49"/>
      <c r="G31" s="37"/>
      <c r="H31" s="50"/>
      <c r="I31" s="57"/>
    </row>
    <row r="32" ht="35" customHeight="1" spans="1:9">
      <c r="A32" s="35"/>
      <c r="B32" s="41"/>
      <c r="C32" s="41"/>
      <c r="D32" s="37"/>
      <c r="E32" s="42"/>
      <c r="F32" s="49"/>
      <c r="G32" s="37"/>
      <c r="H32" s="43"/>
      <c r="I32" s="58"/>
    </row>
    <row r="33" ht="35" customHeight="1" spans="1:9">
      <c r="A33" s="35">
        <v>12</v>
      </c>
      <c r="B33" s="41"/>
      <c r="C33" s="41"/>
      <c r="D33" s="37" t="s">
        <v>68</v>
      </c>
      <c r="E33" s="38" t="s">
        <v>69</v>
      </c>
      <c r="F33" s="49"/>
      <c r="G33" s="37" t="s">
        <v>70</v>
      </c>
      <c r="H33" s="39" t="s">
        <v>4</v>
      </c>
      <c r="I33" s="56"/>
    </row>
    <row r="34" ht="35" customHeight="1" spans="1:9">
      <c r="A34" s="35"/>
      <c r="B34" s="41"/>
      <c r="C34" s="41"/>
      <c r="D34" s="37"/>
      <c r="E34" s="49"/>
      <c r="F34" s="49"/>
      <c r="G34" s="37"/>
      <c r="H34" s="50"/>
      <c r="I34" s="57"/>
    </row>
    <row r="35" ht="35" customHeight="1" spans="1:9">
      <c r="A35" s="35"/>
      <c r="B35" s="41"/>
      <c r="C35" s="52"/>
      <c r="D35" s="37"/>
      <c r="E35" s="42"/>
      <c r="F35" s="42"/>
      <c r="G35" s="37"/>
      <c r="H35" s="43"/>
      <c r="I35" s="58"/>
    </row>
    <row r="36" ht="35" customHeight="1" spans="1:9">
      <c r="A36" s="35">
        <v>13</v>
      </c>
      <c r="B36" s="41"/>
      <c r="C36" s="36" t="s">
        <v>71</v>
      </c>
      <c r="D36" s="37" t="s">
        <v>72</v>
      </c>
      <c r="E36" s="38" t="s">
        <v>73</v>
      </c>
      <c r="F36" s="38" t="s">
        <v>74</v>
      </c>
      <c r="G36" s="37" t="s">
        <v>75</v>
      </c>
      <c r="H36" s="39" t="s">
        <v>4</v>
      </c>
      <c r="I36" s="56"/>
    </row>
    <row r="37" ht="35" customHeight="1" spans="1:9">
      <c r="A37" s="35"/>
      <c r="B37" s="41"/>
      <c r="C37" s="41"/>
      <c r="D37" s="37"/>
      <c r="E37" s="42"/>
      <c r="F37" s="42"/>
      <c r="G37" s="37"/>
      <c r="H37" s="43"/>
      <c r="I37" s="58"/>
    </row>
    <row r="38" ht="35" customHeight="1" spans="1:9">
      <c r="A38" s="35">
        <v>14</v>
      </c>
      <c r="B38" s="41"/>
      <c r="C38" s="41"/>
      <c r="D38" s="37" t="s">
        <v>76</v>
      </c>
      <c r="E38" s="38" t="s">
        <v>77</v>
      </c>
      <c r="F38" s="38" t="s">
        <v>78</v>
      </c>
      <c r="G38" s="37" t="s">
        <v>79</v>
      </c>
      <c r="H38" s="39" t="s">
        <v>4</v>
      </c>
      <c r="I38" s="56"/>
    </row>
    <row r="39" ht="35" customHeight="1" spans="1:9">
      <c r="A39" s="35"/>
      <c r="B39" s="41"/>
      <c r="C39" s="41"/>
      <c r="D39" s="37"/>
      <c r="E39" s="42"/>
      <c r="F39" s="42"/>
      <c r="G39" s="37"/>
      <c r="H39" s="43"/>
      <c r="I39" s="58"/>
    </row>
    <row r="40" ht="35" customHeight="1" spans="1:9">
      <c r="A40" s="35">
        <v>15</v>
      </c>
      <c r="B40" s="41"/>
      <c r="C40" s="41"/>
      <c r="D40" s="37" t="s">
        <v>80</v>
      </c>
      <c r="E40" s="38" t="s">
        <v>81</v>
      </c>
      <c r="F40" s="38" t="s">
        <v>82</v>
      </c>
      <c r="G40" s="37" t="s">
        <v>83</v>
      </c>
      <c r="H40" s="39" t="s">
        <v>4</v>
      </c>
      <c r="I40" s="56"/>
    </row>
    <row r="41" ht="35" customHeight="1" spans="1:9">
      <c r="A41" s="35"/>
      <c r="B41" s="41"/>
      <c r="C41" s="41"/>
      <c r="D41" s="37"/>
      <c r="E41" s="49"/>
      <c r="F41" s="42"/>
      <c r="G41" s="37"/>
      <c r="H41" s="43"/>
      <c r="I41" s="58"/>
    </row>
    <row r="42" ht="35" customHeight="1" spans="1:9">
      <c r="A42" s="35">
        <v>16</v>
      </c>
      <c r="B42" s="41"/>
      <c r="C42" s="41"/>
      <c r="D42" s="37" t="s">
        <v>84</v>
      </c>
      <c r="E42" s="49"/>
      <c r="F42" s="38" t="s">
        <v>85</v>
      </c>
      <c r="G42" s="37" t="s">
        <v>86</v>
      </c>
      <c r="H42" s="39" t="s">
        <v>4</v>
      </c>
      <c r="I42" s="47"/>
    </row>
    <row r="43" ht="35" customHeight="1" spans="1:9">
      <c r="A43" s="35"/>
      <c r="B43" s="41"/>
      <c r="C43" s="41"/>
      <c r="D43" s="37"/>
      <c r="E43" s="42"/>
      <c r="F43" s="42"/>
      <c r="G43" s="37"/>
      <c r="H43" s="43"/>
      <c r="I43" s="48"/>
    </row>
    <row r="44" ht="35" customHeight="1" spans="1:9">
      <c r="A44" s="35">
        <v>17</v>
      </c>
      <c r="B44" s="41"/>
      <c r="C44" s="41"/>
      <c r="D44" s="37" t="s">
        <v>87</v>
      </c>
      <c r="E44" s="38" t="s">
        <v>88</v>
      </c>
      <c r="F44" s="36" t="s">
        <v>89</v>
      </c>
      <c r="G44" s="37" t="s">
        <v>90</v>
      </c>
      <c r="H44" s="39" t="s">
        <v>4</v>
      </c>
      <c r="I44" s="47"/>
    </row>
    <row r="45" ht="35" customHeight="1" spans="1:9">
      <c r="A45" s="35"/>
      <c r="B45" s="41"/>
      <c r="C45" s="41"/>
      <c r="D45" s="37"/>
      <c r="E45" s="49"/>
      <c r="F45" s="41"/>
      <c r="G45" s="37"/>
      <c r="H45" s="50"/>
      <c r="I45" s="51"/>
    </row>
    <row r="46" ht="35" customHeight="1" spans="1:9">
      <c r="A46" s="35"/>
      <c r="B46" s="41"/>
      <c r="C46" s="41"/>
      <c r="D46" s="37"/>
      <c r="E46" s="42"/>
      <c r="F46" s="41"/>
      <c r="G46" s="37"/>
      <c r="H46" s="43"/>
      <c r="I46" s="48"/>
    </row>
    <row r="47" ht="45" customHeight="1" spans="1:9">
      <c r="A47" s="35">
        <v>18</v>
      </c>
      <c r="B47" s="41"/>
      <c r="C47" s="41"/>
      <c r="D47" s="37" t="s">
        <v>91</v>
      </c>
      <c r="E47" s="38" t="s">
        <v>92</v>
      </c>
      <c r="F47" s="41"/>
      <c r="G47" s="37" t="s">
        <v>93</v>
      </c>
      <c r="H47" s="39" t="s">
        <v>4</v>
      </c>
      <c r="I47" s="47"/>
    </row>
    <row r="48" ht="45" customHeight="1" spans="1:9">
      <c r="A48" s="35"/>
      <c r="B48" s="41"/>
      <c r="C48" s="41"/>
      <c r="D48" s="37"/>
      <c r="E48" s="49"/>
      <c r="F48" s="41"/>
      <c r="G48" s="37"/>
      <c r="H48" s="50"/>
      <c r="I48" s="51"/>
    </row>
    <row r="49" ht="45" customHeight="1" spans="1:9">
      <c r="A49" s="35"/>
      <c r="B49" s="41"/>
      <c r="C49" s="41"/>
      <c r="D49" s="37"/>
      <c r="E49" s="42"/>
      <c r="F49" s="52"/>
      <c r="G49" s="37"/>
      <c r="H49" s="43"/>
      <c r="I49" s="48"/>
    </row>
    <row r="50" ht="45" customHeight="1" spans="1:9">
      <c r="A50" s="35">
        <v>19</v>
      </c>
      <c r="B50" s="41"/>
      <c r="C50" s="41"/>
      <c r="D50" s="37" t="s">
        <v>94</v>
      </c>
      <c r="E50" s="38" t="s">
        <v>95</v>
      </c>
      <c r="F50" s="37" t="s">
        <v>96</v>
      </c>
      <c r="G50" s="37" t="s">
        <v>97</v>
      </c>
      <c r="H50" s="39" t="s">
        <v>4</v>
      </c>
      <c r="I50" s="47"/>
    </row>
    <row r="51" ht="45" customHeight="1" spans="1:9">
      <c r="A51" s="35"/>
      <c r="B51" s="41"/>
      <c r="C51" s="41"/>
      <c r="D51" s="37"/>
      <c r="E51" s="42"/>
      <c r="F51" s="37"/>
      <c r="G51" s="37"/>
      <c r="H51" s="43"/>
      <c r="I51" s="48"/>
    </row>
    <row r="52" ht="45" customHeight="1" spans="1:9">
      <c r="A52" s="35">
        <v>20</v>
      </c>
      <c r="B52" s="41"/>
      <c r="C52" s="41"/>
      <c r="D52" s="37" t="s">
        <v>98</v>
      </c>
      <c r="E52" s="38" t="s">
        <v>99</v>
      </c>
      <c r="F52" s="38" t="s">
        <v>100</v>
      </c>
      <c r="G52" s="37" t="s">
        <v>101</v>
      </c>
      <c r="H52" s="39" t="s">
        <v>4</v>
      </c>
      <c r="I52" s="56"/>
    </row>
    <row r="53" ht="45" customHeight="1" spans="1:9">
      <c r="A53" s="35"/>
      <c r="B53" s="52"/>
      <c r="C53" s="52"/>
      <c r="D53" s="37"/>
      <c r="E53" s="42"/>
      <c r="F53" s="42"/>
      <c r="G53" s="37"/>
      <c r="H53" s="43"/>
      <c r="I53" s="58"/>
    </row>
  </sheetData>
  <mergeCells count="138">
    <mergeCell ref="A1:F1"/>
    <mergeCell ref="C2:D2"/>
    <mergeCell ref="C3:D3"/>
    <mergeCell ref="C4:D4"/>
    <mergeCell ref="C5:D5"/>
    <mergeCell ref="C6:F6"/>
    <mergeCell ref="A8:A9"/>
    <mergeCell ref="A10:A11"/>
    <mergeCell ref="A12:A13"/>
    <mergeCell ref="A14:A15"/>
    <mergeCell ref="A16:A18"/>
    <mergeCell ref="A20:A21"/>
    <mergeCell ref="A22:A23"/>
    <mergeCell ref="A24:A26"/>
    <mergeCell ref="A27:A29"/>
    <mergeCell ref="A30:A32"/>
    <mergeCell ref="A33:A35"/>
    <mergeCell ref="A36:A37"/>
    <mergeCell ref="A38:A39"/>
    <mergeCell ref="A40:A41"/>
    <mergeCell ref="A42:A43"/>
    <mergeCell ref="A44:A46"/>
    <mergeCell ref="A47:A49"/>
    <mergeCell ref="A50:A51"/>
    <mergeCell ref="A52:A53"/>
    <mergeCell ref="B8:B53"/>
    <mergeCell ref="C8:C19"/>
    <mergeCell ref="C20:C35"/>
    <mergeCell ref="C36:C53"/>
    <mergeCell ref="D8:D9"/>
    <mergeCell ref="D10:D11"/>
    <mergeCell ref="D12:D13"/>
    <mergeCell ref="D14:D15"/>
    <mergeCell ref="D16:D18"/>
    <mergeCell ref="D20:D21"/>
    <mergeCell ref="D22:D23"/>
    <mergeCell ref="D24:D26"/>
    <mergeCell ref="D27:D29"/>
    <mergeCell ref="D30:D32"/>
    <mergeCell ref="D33:D35"/>
    <mergeCell ref="D36:D37"/>
    <mergeCell ref="D38:D39"/>
    <mergeCell ref="D40:D41"/>
    <mergeCell ref="D42:D43"/>
    <mergeCell ref="D44:D46"/>
    <mergeCell ref="D47:D49"/>
    <mergeCell ref="D50:D51"/>
    <mergeCell ref="D52:D53"/>
    <mergeCell ref="E8:E9"/>
    <mergeCell ref="E10:E11"/>
    <mergeCell ref="E12:E13"/>
    <mergeCell ref="E14:E15"/>
    <mergeCell ref="E16:E18"/>
    <mergeCell ref="E20:E21"/>
    <mergeCell ref="E22:E23"/>
    <mergeCell ref="E24:E26"/>
    <mergeCell ref="E27:E29"/>
    <mergeCell ref="E30:E32"/>
    <mergeCell ref="E33:E35"/>
    <mergeCell ref="E36:E37"/>
    <mergeCell ref="E38:E39"/>
    <mergeCell ref="E40:E43"/>
    <mergeCell ref="E44:E46"/>
    <mergeCell ref="E47:E49"/>
    <mergeCell ref="E50:E51"/>
    <mergeCell ref="E52:E53"/>
    <mergeCell ref="F8:F9"/>
    <mergeCell ref="F10:F11"/>
    <mergeCell ref="F12:F13"/>
    <mergeCell ref="F14:F15"/>
    <mergeCell ref="F16:F18"/>
    <mergeCell ref="F20:F21"/>
    <mergeCell ref="F22:F23"/>
    <mergeCell ref="F24:F35"/>
    <mergeCell ref="F36:F37"/>
    <mergeCell ref="F38:F39"/>
    <mergeCell ref="F40:F41"/>
    <mergeCell ref="F42:F43"/>
    <mergeCell ref="F44:F49"/>
    <mergeCell ref="F50:F51"/>
    <mergeCell ref="F52:F53"/>
    <mergeCell ref="G8:G9"/>
    <mergeCell ref="G10:G11"/>
    <mergeCell ref="G12:G13"/>
    <mergeCell ref="G14:G15"/>
    <mergeCell ref="G16:G18"/>
    <mergeCell ref="G20:G21"/>
    <mergeCell ref="G22:G23"/>
    <mergeCell ref="G24:G26"/>
    <mergeCell ref="G27:G29"/>
    <mergeCell ref="G30:G32"/>
    <mergeCell ref="G33:G35"/>
    <mergeCell ref="G36:G37"/>
    <mergeCell ref="G38:G39"/>
    <mergeCell ref="G40:G41"/>
    <mergeCell ref="G42:G43"/>
    <mergeCell ref="G44:G46"/>
    <mergeCell ref="G47:G49"/>
    <mergeCell ref="G50:G51"/>
    <mergeCell ref="G52:G53"/>
    <mergeCell ref="H8:H9"/>
    <mergeCell ref="H10:H11"/>
    <mergeCell ref="H12:H13"/>
    <mergeCell ref="H14:H15"/>
    <mergeCell ref="H16:H18"/>
    <mergeCell ref="H20:H21"/>
    <mergeCell ref="H22:H23"/>
    <mergeCell ref="H24:H26"/>
    <mergeCell ref="H27:H29"/>
    <mergeCell ref="H30:H32"/>
    <mergeCell ref="H33:H35"/>
    <mergeCell ref="H36:H37"/>
    <mergeCell ref="H38:H39"/>
    <mergeCell ref="H40:H41"/>
    <mergeCell ref="H42:H43"/>
    <mergeCell ref="H44:H46"/>
    <mergeCell ref="H47:H49"/>
    <mergeCell ref="H50:H51"/>
    <mergeCell ref="H52:H53"/>
    <mergeCell ref="I8:I9"/>
    <mergeCell ref="I10:I11"/>
    <mergeCell ref="I12:I13"/>
    <mergeCell ref="I14:I15"/>
    <mergeCell ref="I16:I18"/>
    <mergeCell ref="I20:I21"/>
    <mergeCell ref="I22:I23"/>
    <mergeCell ref="I24:I26"/>
    <mergeCell ref="I27:I29"/>
    <mergeCell ref="I30:I32"/>
    <mergeCell ref="I33:I35"/>
    <mergeCell ref="I36:I37"/>
    <mergeCell ref="I38:I39"/>
    <mergeCell ref="I40:I41"/>
    <mergeCell ref="I42:I43"/>
    <mergeCell ref="I44:I46"/>
    <mergeCell ref="I47:I49"/>
    <mergeCell ref="I50:I51"/>
    <mergeCell ref="I52:I53"/>
  </mergeCells>
  <conditionalFormatting sqref="H8">
    <cfRule type="cellIs" dxfId="0" priority="163" stopIfTrue="1" operator="equal">
      <formula>"N/A"</formula>
    </cfRule>
    <cfRule type="cellIs" dxfId="1" priority="164" stopIfTrue="1" operator="equal">
      <formula>"Fail"</formula>
    </cfRule>
    <cfRule type="cellIs" dxfId="2" priority="165" stopIfTrue="1" operator="equal">
      <formula>"Pass"</formula>
    </cfRule>
  </conditionalFormatting>
  <conditionalFormatting sqref="H14">
    <cfRule type="cellIs" dxfId="0" priority="175" stopIfTrue="1" operator="equal">
      <formula>"N/A"</formula>
    </cfRule>
    <cfRule type="cellIs" dxfId="1" priority="176" stopIfTrue="1" operator="equal">
      <formula>"Fail"</formula>
    </cfRule>
    <cfRule type="cellIs" dxfId="2" priority="177" stopIfTrue="1" operator="equal">
      <formula>"Pass"</formula>
    </cfRule>
  </conditionalFormatting>
  <conditionalFormatting sqref="H16">
    <cfRule type="cellIs" dxfId="0" priority="122" stopIfTrue="1" operator="equal">
      <formula>"N/A"</formula>
    </cfRule>
    <cfRule type="cellIs" dxfId="1" priority="142" stopIfTrue="1" operator="equal">
      <formula>"Fail"</formula>
    </cfRule>
    <cfRule type="cellIs" dxfId="2" priority="162" stopIfTrue="1" operator="equal">
      <formula>"Pass"</formula>
    </cfRule>
  </conditionalFormatting>
  <conditionalFormatting sqref="H19">
    <cfRule type="cellIs" dxfId="0" priority="119" stopIfTrue="1" operator="equal">
      <formula>"N/A"</formula>
    </cfRule>
    <cfRule type="cellIs" dxfId="1" priority="139" stopIfTrue="1" operator="equal">
      <formula>"Fail"</formula>
    </cfRule>
    <cfRule type="cellIs" dxfId="2" priority="159" stopIfTrue="1" operator="equal">
      <formula>"Pass"</formula>
    </cfRule>
  </conditionalFormatting>
  <conditionalFormatting sqref="H20">
    <cfRule type="cellIs" dxfId="0" priority="118" stopIfTrue="1" operator="equal">
      <formula>"N/A"</formula>
    </cfRule>
    <cfRule type="cellIs" dxfId="1" priority="138" stopIfTrue="1" operator="equal">
      <formula>"Fail"</formula>
    </cfRule>
    <cfRule type="cellIs" dxfId="2" priority="158" stopIfTrue="1" operator="equal">
      <formula>"Pass"</formula>
    </cfRule>
  </conditionalFormatting>
  <conditionalFormatting sqref="H22">
    <cfRule type="cellIs" dxfId="0" priority="116" stopIfTrue="1" operator="equal">
      <formula>"N/A"</formula>
    </cfRule>
    <cfRule type="cellIs" dxfId="1" priority="136" stopIfTrue="1" operator="equal">
      <formula>"Fail"</formula>
    </cfRule>
    <cfRule type="cellIs" dxfId="2" priority="156" stopIfTrue="1" operator="equal">
      <formula>"Pass"</formula>
    </cfRule>
  </conditionalFormatting>
  <conditionalFormatting sqref="H24">
    <cfRule type="cellIs" dxfId="0" priority="111" stopIfTrue="1" operator="equal">
      <formula>"N/A"</formula>
    </cfRule>
    <cfRule type="cellIs" dxfId="1" priority="131" stopIfTrue="1" operator="equal">
      <formula>"Fail"</formula>
    </cfRule>
    <cfRule type="cellIs" dxfId="2" priority="151" stopIfTrue="1" operator="equal">
      <formula>"Pass"</formula>
    </cfRule>
  </conditionalFormatting>
  <conditionalFormatting sqref="H27">
    <cfRule type="cellIs" dxfId="0" priority="108" stopIfTrue="1" operator="equal">
      <formula>"N/A"</formula>
    </cfRule>
    <cfRule type="cellIs" dxfId="1" priority="128" stopIfTrue="1" operator="equal">
      <formula>"Fail"</formula>
    </cfRule>
    <cfRule type="cellIs" dxfId="2" priority="148" stopIfTrue="1" operator="equal">
      <formula>"Pass"</formula>
    </cfRule>
  </conditionalFormatting>
  <conditionalFormatting sqref="H30">
    <cfRule type="cellIs" dxfId="0" priority="105" stopIfTrue="1" operator="equal">
      <formula>"N/A"</formula>
    </cfRule>
    <cfRule type="cellIs" dxfId="1" priority="125" stopIfTrue="1" operator="equal">
      <formula>"Fail"</formula>
    </cfRule>
    <cfRule type="cellIs" dxfId="2" priority="145" stopIfTrue="1" operator="equal">
      <formula>"Pass"</formula>
    </cfRule>
  </conditionalFormatting>
  <conditionalFormatting sqref="H33">
    <cfRule type="cellIs" dxfId="0" priority="36" stopIfTrue="1" operator="equal">
      <formula>"N/A"</formula>
    </cfRule>
    <cfRule type="cellIs" dxfId="1" priority="69" stopIfTrue="1" operator="equal">
      <formula>"Fail"</formula>
    </cfRule>
    <cfRule type="cellIs" dxfId="2" priority="102" stopIfTrue="1" operator="equal">
      <formula>"Pass"</formula>
    </cfRule>
  </conditionalFormatting>
  <conditionalFormatting sqref="H36">
    <cfRule type="cellIs" dxfId="0" priority="33" stopIfTrue="1" operator="equal">
      <formula>"N/A"</formula>
    </cfRule>
    <cfRule type="cellIs" dxfId="1" priority="66" stopIfTrue="1" operator="equal">
      <formula>"Fail"</formula>
    </cfRule>
    <cfRule type="cellIs" dxfId="2" priority="99" stopIfTrue="1" operator="equal">
      <formula>"Pass"</formula>
    </cfRule>
  </conditionalFormatting>
  <conditionalFormatting sqref="H38">
    <cfRule type="cellIs" dxfId="0" priority="29" stopIfTrue="1" operator="equal">
      <formula>"N/A"</formula>
    </cfRule>
    <cfRule type="cellIs" dxfId="1" priority="62" stopIfTrue="1" operator="equal">
      <formula>"Fail"</formula>
    </cfRule>
    <cfRule type="cellIs" dxfId="2" priority="95" stopIfTrue="1" operator="equal">
      <formula>"Pass"</formula>
    </cfRule>
  </conditionalFormatting>
  <conditionalFormatting sqref="H40">
    <cfRule type="cellIs" dxfId="0" priority="26" stopIfTrue="1" operator="equal">
      <formula>"N/A"</formula>
    </cfRule>
    <cfRule type="cellIs" dxfId="1" priority="59" stopIfTrue="1" operator="equal">
      <formula>"Fail"</formula>
    </cfRule>
    <cfRule type="cellIs" dxfId="2" priority="92" stopIfTrue="1" operator="equal">
      <formula>"Pass"</formula>
    </cfRule>
  </conditionalFormatting>
  <conditionalFormatting sqref="H42">
    <cfRule type="cellIs" dxfId="0" priority="24" stopIfTrue="1" operator="equal">
      <formula>"N/A"</formula>
    </cfRule>
    <cfRule type="cellIs" dxfId="1" priority="57" stopIfTrue="1" operator="equal">
      <formula>"Fail"</formula>
    </cfRule>
    <cfRule type="cellIs" dxfId="2" priority="90" stopIfTrue="1" operator="equal">
      <formula>"Pass"</formula>
    </cfRule>
  </conditionalFormatting>
  <conditionalFormatting sqref="H44">
    <cfRule type="cellIs" dxfId="0" priority="22" stopIfTrue="1" operator="equal">
      <formula>"N/A"</formula>
    </cfRule>
    <cfRule type="cellIs" dxfId="1" priority="55" stopIfTrue="1" operator="equal">
      <formula>"Fail"</formula>
    </cfRule>
    <cfRule type="cellIs" dxfId="2" priority="88" stopIfTrue="1" operator="equal">
      <formula>"Pass"</formula>
    </cfRule>
  </conditionalFormatting>
  <conditionalFormatting sqref="H47">
    <cfRule type="cellIs" dxfId="0" priority="19" stopIfTrue="1" operator="equal">
      <formula>"N/A"</formula>
    </cfRule>
    <cfRule type="cellIs" dxfId="1" priority="52" stopIfTrue="1" operator="equal">
      <formula>"Fail"</formula>
    </cfRule>
    <cfRule type="cellIs" dxfId="2" priority="85" stopIfTrue="1" operator="equal">
      <formula>"Pass"</formula>
    </cfRule>
  </conditionalFormatting>
  <conditionalFormatting sqref="H50">
    <cfRule type="cellIs" dxfId="0" priority="16" stopIfTrue="1" operator="equal">
      <formula>"N/A"</formula>
    </cfRule>
    <cfRule type="cellIs" dxfId="1" priority="49" stopIfTrue="1" operator="equal">
      <formula>"Fail"</formula>
    </cfRule>
    <cfRule type="cellIs" dxfId="2" priority="82" stopIfTrue="1" operator="equal">
      <formula>"Pass"</formula>
    </cfRule>
  </conditionalFormatting>
  <conditionalFormatting sqref="H52">
    <cfRule type="cellIs" dxfId="0" priority="10" stopIfTrue="1" operator="equal">
      <formula>"N/A"</formula>
    </cfRule>
    <cfRule type="cellIs" dxfId="1" priority="43" stopIfTrue="1" operator="equal">
      <formula>"Fail"</formula>
    </cfRule>
    <cfRule type="cellIs" dxfId="2" priority="76" stopIfTrue="1" operator="equal">
      <formula>"Pass"</formula>
    </cfRule>
  </conditionalFormatting>
  <conditionalFormatting sqref="H10 H12">
    <cfRule type="cellIs" dxfId="0" priority="190" stopIfTrue="1" operator="equal">
      <formula>"N/A"</formula>
    </cfRule>
    <cfRule type="cellIs" dxfId="1" priority="191" stopIfTrue="1" operator="equal">
      <formula>"Fail"</formula>
    </cfRule>
    <cfRule type="cellIs" dxfId="2" priority="192" stopIfTrue="1" operator="equal">
      <formula>"Pass"</formula>
    </cfRule>
  </conditionalFormatting>
  <dataValidations count="1">
    <dataValidation type="list" allowBlank="1" showInputMessage="1" showErrorMessage="1" sqref="H8:H53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邮件功能优化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Fate</cp:lastModifiedBy>
  <dcterms:created xsi:type="dcterms:W3CDTF">2022-02-14T09:35:00Z</dcterms:created>
  <dcterms:modified xsi:type="dcterms:W3CDTF">2026-01-19T05:33:11Z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