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anye/Library/CloudStorage/OneDrive-个人/Project/QA/testcases/generated/运营活动/"/>
    </mc:Choice>
  </mc:AlternateContent>
  <xr:revisionPtr revIDLastSave="0" documentId="13_ncr:1_{0F2D1ECA-3828-5747-97B5-FF8CD4C02D2D}" xr6:coauthVersionLast="47" xr6:coauthVersionMax="47" xr10:uidLastSave="{00000000-0000-0000-0000-000000000000}"/>
  <bookViews>
    <workbookView xWindow="0" yWindow="600" windowWidth="28800" windowHeight="12260" xr2:uid="{00000000-000D-0000-FFFF-FFFF00000000}"/>
  </bookViews>
  <sheets>
    <sheet name="锦标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 s="1"/>
</calcChain>
</file>

<file path=xl/sharedStrings.xml><?xml version="1.0" encoding="utf-8"?>
<sst xmlns="http://schemas.openxmlformats.org/spreadsheetml/2006/main" count="819" uniqueCount="513">
  <si>
    <t>锦标赛</t>
  </si>
  <si>
    <t>测试总数量</t>
  </si>
  <si>
    <t>测试平台</t>
  </si>
  <si>
    <t>web5-2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</si>
  <si>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</si>
  <si>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</si>
  <si>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</si>
  <si>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</si>
  <si>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</si>
  <si>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</si>
  <si>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</si>
  <si>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</si>
  <si>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</si>
  <si>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</si>
  <si>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</si>
  <si>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</si>
  <si>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</si>
  <si>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</si>
  <si>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</si>
  <si>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</si>
  <si>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</si>
  <si>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</si>
  <si>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</si>
  <si>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</si>
  <si>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系统设置</t>
  </si>
  <si>
    <t>运营活动新增锦标赛权限</t>
  </si>
  <si>
    <t>1、更新版本后</t>
  </si>
  <si>
    <t>/</t>
  </si>
  <si>
    <t>1、【运营管理&gt;运营活动】中新增【锦标赛】
2、初始化状态为未勾选状态
3、无法可以正常操作【锦标赛】的任意配置，提示无权限</t>
  </si>
  <si>
    <t>运营活动</t>
  </si>
  <si>
    <t>锦标赛列表</t>
  </si>
  <si>
    <t>锦标赛列表-显示字段验证</t>
  </si>
  <si>
    <t>查看列表展示的字段</t>
  </si>
  <si>
    <t>显示：锦标赛名称、锦标赛标题（英）、比赛周期类型、比赛时间、奖池金币、奖池旋转次数、锦标赛类型、最小投注金额、锦标赛状态、参与游戏数、是否展示、大厅分类展示</t>
  </si>
  <si>
    <t>锦标赛列表查询-按名称搜索</t>
  </si>
  <si>
    <t>1、在搜索区域的锦标赛名称输入框中输入关键字（如"周循环"）
2、点击"搜索"按钮</t>
  </si>
  <si>
    <t>列表中只显示包含输入关键字的锦标赛记录</t>
  </si>
  <si>
    <t>锦标赛列表查询-按类型筛选</t>
  </si>
  <si>
    <t>1、在锦标赛类型下拉框中选择特定类型（如"周循环"）
2、点击"搜索"按钮</t>
  </si>
  <si>
    <t>列表中只显示选中类型的锦标赛记录</t>
  </si>
  <si>
    <t>锦标赛列表查询-按标题搜索</t>
  </si>
  <si>
    <t>1、在搜索区域的锦标赛标题输入框中输入关键字（如"周循环"）
2、点击"搜索"按钮</t>
  </si>
  <si>
    <t>锦标赛列表查询-按状态筛选</t>
  </si>
  <si>
    <t>1、在锦标赛状态下拉框中选择特定状态（如"进行中"）
2、点击"搜索"按钮</t>
  </si>
  <si>
    <t>列表中只显示选中状态的锦标赛记录</t>
  </si>
  <si>
    <t>锦标赛列表展示-分页展示</t>
  </si>
  <si>
    <t>1、查看当前页列表
2、点击下一页或跳转至指定页</t>
  </si>
  <si>
    <t>能够正确切换页面，每页显示正确数量的记录</t>
  </si>
  <si>
    <t>锦标赛列表查询-关键字为空</t>
  </si>
  <si>
    <t>1、保持搜索条件为空
2、点击"搜索"按钮</t>
  </si>
  <si>
    <t>显示所有锦标赛记录</t>
  </si>
  <si>
    <t>锦标赛列表查询-不存在的结果</t>
  </si>
  <si>
    <t>1、输入不存在的关键字（如"测试不存在的名称12345"）
2、点击"搜索"按钮</t>
  </si>
  <si>
    <t>列表显示为空</t>
  </si>
  <si>
    <t>锦标赛列表查询-特殊字符搜索</t>
  </si>
  <si>
    <t>1、输入特殊字符（如"&lt;&gt;&amp;")
2、点击"搜索"按钮</t>
  </si>
  <si>
    <t>系统正常处理，不报错的显示查询结果</t>
  </si>
  <si>
    <t>是否展示</t>
  </si>
  <si>
    <t>已启动锦标赛</t>
  </si>
  <si>
    <t>1、开启展示</t>
  </si>
  <si>
    <t>（前端验证）显示展示的锦标赛</t>
  </si>
  <si>
    <t>未启用或者已结束的锦标赛无法开启展示</t>
  </si>
  <si>
    <t>大厅分类展示</t>
  </si>
  <si>
    <t>创建锦标赛</t>
  </si>
  <si>
    <t>创建锦标赛-基础信息填写</t>
  </si>
  <si>
    <t>1、输入锦标赛名称（如"测试锦标赛"）
2、输入锦标赛标题
3、选择报名方式（手动报名/自动报名）
4、选择奖励派发方式（手动领取/自动派发）
5、选择比赛周期类型
6、设置比赛时间（包括比赛创建时间和结算时间）
7、选择锦标赛类型（子配置根据类型决定，类型分为下注金额、下注次数、中奖金额、中奖倍率、下注（积分）金额）
8、点击"下一步"</t>
  </si>
  <si>
    <t>基础信息&amp;比赛规则验证通过，进入奖励配置页面</t>
  </si>
  <si>
    <t>创建锦标赛-奖励配置</t>
  </si>
  <si>
    <t>1、点击"添加奖励档位"
2、设置排名
3、设置金币奖励数量和打码倍数
4、设置免费旋转次数和打码倍数
5、点击"下一步"</t>
  </si>
  <si>
    <t>奖励配置验证通过，进入游戏添加页面</t>
  </si>
  <si>
    <t>创建锦标赛-游戏配置</t>
  </si>
  <si>
    <t>1、点击"添加游戏"
2、在弹窗中选择游戏（如FG-Lucky Cat）
3、设置排序号
4、设置积分倍数
5、点击确定</t>
  </si>
  <si>
    <t>游戏添加成功，显示在游戏列表中</t>
  </si>
  <si>
    <t>创建锦标赛-游戏配置-游戏搜索</t>
  </si>
  <si>
    <t>1、在游戏类型下拉框中选择特定类型（如"游戏名称"）
2、输入游戏名称（如Lucky Cat）
2、点击"搜索"按钮</t>
  </si>
  <si>
    <t>列表中只显示搜索到的游戏记录（精确搜索，区分大小写）</t>
  </si>
  <si>
    <t>创建锦标赛-游戏配置-批量删除</t>
  </si>
  <si>
    <t>1、勾选多个列表中已有的游戏
2、点击"批量删除"</t>
  </si>
  <si>
    <t>游戏列表中对应的游戏被删除</t>
  </si>
  <si>
    <t>创建锦标赛-说明配置</t>
  </si>
  <si>
    <t>1、填写锦标赛详细说明
2、填写奖励详细说明
3、点击"创建完成"</t>
  </si>
  <si>
    <t>锦标赛创建成功，系统提示创建成功</t>
  </si>
  <si>
    <t>创建锦标赛-必填项为空验证</t>
  </si>
  <si>
    <t>1、不填写任何必填信息
2、直接点击"下一步"或"创建完成"</t>
  </si>
  <si>
    <t>系统提示必填项不能为空，如锦标赛名称、标题等</t>
  </si>
  <si>
    <t>创建锦标赛-奖池金币为负数</t>
  </si>
  <si>
    <t>1、填写基本信息
2、在奖池金币字段输入负数（如-100）
3、尝试提交</t>
  </si>
  <si>
    <t>自动修正为正整数</t>
  </si>
  <si>
    <t>创建锦标赛-奖池金币和免费旋转为0</t>
  </si>
  <si>
    <t>1、填写基本信息
2、在奖池金币字段输入0
3、在免费旋转字段输入0
4、尝试提交</t>
  </si>
  <si>
    <t>系统提示金币和免费旋转次数不能同时为 0</t>
  </si>
  <si>
    <t>创建锦标赛-未添加奖励档位</t>
  </si>
  <si>
    <t>1、不添加任何奖励档位
2、直接点击"下一步"</t>
  </si>
  <si>
    <t>系统提示请配置奖励规则</t>
  </si>
  <si>
    <t>创建锦标赛-未添加游戏</t>
  </si>
  <si>
    <t>1、不添加任何游戏
2、点击"创建完成"</t>
  </si>
  <si>
    <t>系统提示必须添加至少一个参与游戏</t>
  </si>
  <si>
    <t>创建锦标赛-比赛时间过期</t>
  </si>
  <si>
    <t>1、周期类型选择"指定时间段"
2、添加已过期的比赛时间
3、点击"创建完成"</t>
  </si>
  <si>
    <t>提示指定时间段的比赛时间（结束）需大于当前时间</t>
  </si>
  <si>
    <t>创建锦标赛-多个奖励档位</t>
  </si>
  <si>
    <t>1、添加多个奖励档位（如1-10名）
2、分别设置每个档位的奖励
3、完成创建</t>
  </si>
  <si>
    <t>多个奖励档位创建成功</t>
  </si>
  <si>
    <t>创建锦标赛-多个奖励档位递减</t>
  </si>
  <si>
    <t>1、添加第一个档位，奖励设为10000金币，10免费旋转
2、添加第一个档位，奖励设为10000金币，10免费旋转
3、添加第一个档位，奖励设为10000金币，10免费旋转
4、尝试保存</t>
  </si>
  <si>
    <t>系统提示后续档位金币或免费旋转次数不能高于前面档位</t>
  </si>
  <si>
    <t>创建锦标赛-奖励档位排名重复</t>
  </si>
  <si>
    <t>1、添加第一个档位，排名设为1
2、添加第二个档位，排名也设为1
3、添加第三个档位，排名也设为1
4、尝试保存</t>
  </si>
  <si>
    <t>系统提示至少需要配置前 3 名的奖励</t>
  </si>
  <si>
    <t>创建锦标赛-奖励档位区间</t>
  </si>
  <si>
    <t>1、添加第一个档位，排名设为1-100并配置奖励
2、尝试保存</t>
  </si>
  <si>
    <t>1、锦标赛创建成功
2、（前端验证）符合条件的参与者在锦标赛结束后都能获得配置中的奖励</t>
  </si>
  <si>
    <t>非平分</t>
  </si>
  <si>
    <t>创建锦标赛-删除奖励档位</t>
  </si>
  <si>
    <t>1、点击某个奖励档位的删除按钮
2、确认删除</t>
  </si>
  <si>
    <t>该奖励档位被删除</t>
  </si>
  <si>
    <t>创建锦标赛-删除游戏</t>
  </si>
  <si>
    <t>1、点击某个游戏的删除按钮
2、确认删除</t>
  </si>
  <si>
    <t>该游戏从列表中移除</t>
  </si>
  <si>
    <t>创建锦标赛-积分倍数设置</t>
  </si>
  <si>
    <t>1、添加游戏
2、设置积分倍数为2.0
3、完成创建</t>
  </si>
  <si>
    <t>1、游戏积分倍数设置成功
2、（前端验证）指定游戏标签上显示积分倍率</t>
  </si>
  <si>
    <t>结算积分时乘以的倍数</t>
  </si>
  <si>
    <t>锦标赛操作</t>
  </si>
  <si>
    <t>锦标赛编辑</t>
  </si>
  <si>
    <t>1、在锦标赛列表中找到目标记录
2、点击"编辑"按钮
3、修改部分信息（如奖池金币）
4、保存</t>
  </si>
  <si>
    <t>锦标赛信息更新成功，列表中显示更新后的信息</t>
  </si>
  <si>
    <t>锦标赛复制</t>
  </si>
  <si>
    <t>1、在锦标赛列表中找到目标记录
2、点击"复制"按钮
3、点击"创建完成"</t>
  </si>
  <si>
    <t>系统生成一条新的锦标赛记录，信息与原记录相同</t>
  </si>
  <si>
    <t>锦标赛删除</t>
  </si>
  <si>
    <t>1、在锦标赛列表中找到目标记录
2、点击"删除"按钮
3、确认删除</t>
  </si>
  <si>
    <t>锦标赛记录被删除，列表中不再显示，删除有二次验证</t>
  </si>
  <si>
    <t>锦标赛启用</t>
  </si>
  <si>
    <t>1、在锦标赛列表中找到目标记录
2、点击"启用"按钮</t>
  </si>
  <si>
    <t>提示"启用成功"，锦标赛状态变为"进行中"，有二次验证</t>
  </si>
  <si>
    <t>状态为"未开始"才能启用</t>
  </si>
  <si>
    <t>锦标赛取消</t>
  </si>
  <si>
    <t>1、在锦标赛列表中找到目标记录
2、点击"结束"按钮</t>
  </si>
  <si>
    <t>提示文本，锦标赛状态变为"已结束"</t>
  </si>
  <si>
    <t>锦标赛取消-是否提前结算</t>
  </si>
  <si>
    <t>1、结算弹窗中选择"提前结算"</t>
  </si>
  <si>
    <t>提示"关闭成功"，锦标赛状态变为"已结束"，奖励提前结算</t>
  </si>
  <si>
    <t>不走结算延迟</t>
  </si>
  <si>
    <t>1、结算弹窗中选择"不结算"</t>
  </si>
  <si>
    <t>提示"关闭成功"，锦标赛状态变为"已结束"，奖励不结算</t>
  </si>
  <si>
    <t>锦标赛数据</t>
  </si>
  <si>
    <t>锦标赛数据-数据查看</t>
  </si>
  <si>
    <t>1、在锦标赛列表中找到目标记录
2、点击"数据"按钮</t>
  </si>
  <si>
    <t>显示锦标赛期数、比啥时间、报名人数、参与人数、实际派发金币、实际派发旋转次数</t>
  </si>
  <si>
    <t>锦标赛数据-数据查看-详情</t>
  </si>
  <si>
    <t>1、进入锦标赛详情页面
2、点击"查看详情"按钮
3、查看详情信息</t>
  </si>
  <si>
    <t>显示玩家UID、排名、总积分、状态、实际派发金币、实际派发旋转次数、奖励领取状态</t>
  </si>
  <si>
    <t>锦标赛数据-数据查看-玩家UID查询</t>
  </si>
  <si>
    <t>1、进入锦标赛详情页-查看详情
2、在玩家UID输入框中输入具体玩家UID
3、点击"搜索"</t>
  </si>
  <si>
    <t>列表只显示指定玩家UID的记录</t>
  </si>
  <si>
    <t>锦标赛数据-排名区间筛选</t>
  </si>
  <si>
    <t>1、进入锦标赛详情页-查看详情
2、输入排名区间（如1-10）
3、点击"搜索"</t>
  </si>
  <si>
    <t>列表只显示排名在指定区间的玩家</t>
  </si>
  <si>
    <t>锦标赛数据-无效玩家ID查询</t>
  </si>
  <si>
    <t>1、进入锦标赛详情页-查看详情
2、输入不存在的玩家ID（如999999999）
3、点击"搜索"</t>
  </si>
  <si>
    <t>锦标赛数据-玩家状态筛选</t>
  </si>
  <si>
    <t>1、在玩家状态选择特定状态（如"正常"）
2、点击"搜索"</t>
  </si>
  <si>
    <t>列表中只显示选中状态的玩家记录</t>
  </si>
  <si>
    <t>锦标赛数据-奖励领取状态筛选</t>
  </si>
  <si>
    <t>1、在奖励领取状态选择特定状态（如"已领取"）
2、点击"搜索"</t>
  </si>
  <si>
    <t>列表中只显示奖励领取状态的玩家记录</t>
  </si>
  <si>
    <t>玩家管理</t>
  </si>
  <si>
    <t>锦标赛数据-玩家禁赛</t>
  </si>
  <si>
    <t>1、进入锦标赛详情-查看详情
2、找到目标玩家记录
3、点击"禁赛"按钮
4、确认禁赛</t>
  </si>
  <si>
    <t>玩家状态变为"禁赛"，操作列显示"解除禁赛"</t>
  </si>
  <si>
    <t>锦标赛数据-玩家解除禁赛</t>
  </si>
  <si>
    <t>1、进入锦标赛详情-查看详情
2、找到禁赛状态的目标玩家
3、点击"解除禁赛"按钮
4、确认</t>
  </si>
  <si>
    <t>玩家状态变为"正常"，操作列显示"禁赛"</t>
  </si>
  <si>
    <t>玩家详情查看</t>
  </si>
  <si>
    <t>1、进入锦标赛详情-查看详情
2、点击目标玩家的"查看"按钮</t>
  </si>
  <si>
    <t>跳转到玩家详情页面，显示玩家比赛详情</t>
  </si>
  <si>
    <t>玩家详情-游戏记录查看</t>
  </si>
  <si>
    <t>1、默认显示"游戏记录"标签
2、查看游戏记录列表</t>
  </si>
  <si>
    <t>显示订单号、房间号、游戏名称、游戏类型、活动类型、下注额、结算额、盈亏、税收、打码量、下注时间、结算时间、结算状态、积分倍数</t>
  </si>
  <si>
    <t>玩家详情-积分明细查看</t>
  </si>
  <si>
    <t>1、在玩家详情页面点击"积分明细"标签
2、查看积分明细列表</t>
  </si>
  <si>
    <t>显示结算时间、结算积分、总积分</t>
  </si>
  <si>
    <t>锦标赛大厅展示配置</t>
  </si>
  <si>
    <t>大厅展示配置-新增配置</t>
  </si>
  <si>
    <t>1、进入锦标赛大厅展示配置页面
2、填写标题
3、选择锦标赛分区：大类分类
4、上传图标：75*75 jpg格式图片</t>
  </si>
  <si>
    <t>1、配置保存成功
2、大厅首页显示该锦标赛</t>
  </si>
  <si>
    <t>大厅展示配置-编辑配置</t>
  </si>
  <si>
    <t>1、点击"编辑"按钮
2、修改标题为：Updated Tournament
3、修改图标为新的75*75 png图片
4、点击保存</t>
  </si>
  <si>
    <t>1、配置更新成功
2、大厅展示同步更新</t>
  </si>
  <si>
    <t>大厅展示配置-大厅首页显示开关</t>
  </si>
  <si>
    <t>1、找到大厅展示配置
2、将"大厅首页显示"开关设置为开启状态
3、保存配置</t>
  </si>
  <si>
    <t>1、开关状态保存成功
2、该锦标赛在大厅首页分类下展示</t>
  </si>
  <si>
    <t>大厅展示配置-大厅头部显示开关</t>
  </si>
  <si>
    <t>1、找到大厅展示配置
2、将"大厅头部显示"开关设置为开启状态
3、保存配置</t>
  </si>
  <si>
    <t>1、开关状态保存成功
2、该锦标赛在大厅顶部分类下方展示</t>
  </si>
  <si>
    <t>大厅展示配置-标题为空验证</t>
  </si>
  <si>
    <t>1、进入锦标赛大厅展示配置页面
2、点击"添加锦标赛"按钮
3、不填写标题，直接上传图标并保存</t>
  </si>
  <si>
    <t>1、系统提示标题不能为空
2、保存失败
3、页面停留在编辑状态</t>
  </si>
  <si>
    <t>大厅展示配置-图标为空验证</t>
  </si>
  <si>
    <t>1、进入锦标赛大厅展示配置页面
2、填写标题Test Tournament
3、不上传图标，直接保存</t>
  </si>
  <si>
    <t>1、系统提示图标不能为空
2、保存失败
3、页面停留在编辑状态</t>
  </si>
  <si>
    <t>初始化</t>
  </si>
  <si>
    <t>大厅展示配置-锦标赛分区为空验证</t>
  </si>
  <si>
    <t>1、进入锦标赛大厅展示配置页面
2、填写标题和上传图标
3、不选择锦标赛分区，直接保存</t>
  </si>
  <si>
    <t>1、系统提示锦标赛分区为必填项
2、保存失败</t>
  </si>
  <si>
    <t>大厅展示配置-图标尺寸和格式验证</t>
  </si>
  <si>
    <t>1、用户已登录系统
2、准备不同尺寸的图标文件</t>
  </si>
  <si>
    <t>1、进入锦标赛大厅展示配置页面
2、填写标题
3、上传非标准尺寸图标（如100*50）</t>
  </si>
  <si>
    <t>1、非标准尺寸：系统应能接受并显示
2、支持格式：.jpg/.png</t>
  </si>
  <si>
    <t>配置项默认值验证</t>
  </si>
  <si>
    <t>1、进入锦标赛大厅展示配置页面
2、查看各配置项的默认值</t>
  </si>
  <si>
    <t>1、大厅首页显示：默认关闭
2、大厅头部显示：默认关闭
3、标题：默认为空
4、锦标赛分区在大厅：默认为空
5、大厅图标：默认为空</t>
  </si>
  <si>
    <t>标题多语言配置</t>
  </si>
  <si>
    <t>1、用户已登录系统
2、系统支持多语言</t>
  </si>
  <si>
    <t>1、添加大厅展示配置
2、分别填写不同语言的标题
3、保存配置</t>
  </si>
  <si>
    <t>1、各语言版本标题保存成功
2、根据用户语言环境显示对应标题</t>
  </si>
  <si>
    <t>锦标赛-侧边栏导航</t>
  </si>
  <si>
    <t>自定义皮肤侧边栏新增锦标赛</t>
  </si>
  <si>
    <t>1、将锦标赛添加到侧边栏</t>
  </si>
  <si>
    <t>1、（前端验证）锦标赛开启状态下，侧边栏显示锦标赛入口</t>
  </si>
  <si>
    <t>报表-赠送金币报表</t>
  </si>
  <si>
    <t>新增锦标赛类型</t>
  </si>
  <si>
    <t>1、获取锦标赛奖励</t>
  </si>
  <si>
    <t>1、查看报表中数据和实际数据是否一致</t>
  </si>
  <si>
    <t>运营管理-配置管理-奖励任务时间</t>
  </si>
  <si>
    <t>1、编辑时间（默认为0）</t>
  </si>
  <si>
    <t>1、（前端验证）双钱包环境显示锦标赛任务</t>
  </si>
  <si>
    <t>客户端</t>
  </si>
  <si>
    <t>锦标赛列表展示-进行中列表</t>
  </si>
  <si>
    <t>1、后台配置开启多个锦标赛活动
2、至少有一个锦标赛处于活跃中（未开始或进行中）</t>
  </si>
  <si>
    <t>1、进入锦标赛列表页面
2、查看进行中列表</t>
  </si>
  <si>
    <t>1、列表展示所有活跃中的锦标赛
2、按照截止时间倒序排列
3、显示锦标赛标题、奖池、图片、截止时间/开始时间
4、状态显示为"活跃中"或"未开始"</t>
  </si>
  <si>
    <t>锦标赛列表展示-已结束列表</t>
  </si>
  <si>
    <t>后台配置有已结束的锦标赛</t>
  </si>
  <si>
    <t>1、进入锦标赛列表页面
2、切换到已结束列表</t>
  </si>
  <si>
    <t>1、展示已结束的锦标赛
2、显示"已结束"标识
3、周期循环的锦标赛显示最近一期已结束的比赛</t>
  </si>
  <si>
    <t>锦标赛列表-权重排序</t>
  </si>
  <si>
    <t>后台配置了锦标赛的权重</t>
  </si>
  <si>
    <t>进入锦标赛列表页面</t>
  </si>
  <si>
    <t>权重高的锦标赛优先展示在前面</t>
  </si>
  <si>
    <t>锦标赛列表-单个锦标赛直接跳转</t>
  </si>
  <si>
    <t>后台仅开启1个锦标赛</t>
  </si>
  <si>
    <t>不展示列表，直接进入该锦标赛详情页</t>
  </si>
  <si>
    <t>锦标赛列表-无数据展示</t>
  </si>
  <si>
    <t>后台未开启任何锦标赛</t>
  </si>
  <si>
    <t>显示空状态或无数据提示</t>
  </si>
  <si>
    <t>锦标赛详情</t>
  </si>
  <si>
    <t>锦标赛详情页-基本信息展示</t>
  </si>
  <si>
    <t>存在一个进行中的锦标赛</t>
  </si>
  <si>
    <t>点击锦标赛进入详情页</t>
  </si>
  <si>
    <t>显示：锦标赛标题、奖池信息（格式正确）、图片、倒计时（进行中）、参与游戏数量</t>
  </si>
  <si>
    <t>锦标赛详情页-详细规则展开/收起</t>
  </si>
  <si>
    <t>锦标赛详情页有规则说明</t>
  </si>
  <si>
    <t>点击"详细规则"按钮</t>
  </si>
  <si>
    <t>点击后展开规则内容，再次点击收起</t>
  </si>
  <si>
    <t>锦标赛详情页-详细规则内容</t>
  </si>
  <si>
    <t>后台配置</t>
  </si>
  <si>
    <t>显示后台配置</t>
  </si>
  <si>
    <t>锦标赛详情页-排行榜展示</t>
  </si>
  <si>
    <t>锦标赛已有玩家参与</t>
  </si>
  <si>
    <t>进入锦标赛详情页，查看排行榜区域</t>
  </si>
  <si>
    <t>1、默认显示前5名玩家
2、显示排名、玩家昵称（最后3位隐藏为*）、积分
3、玩家头像正确显示</t>
  </si>
  <si>
    <t>1、锦标赛已有玩家参与
2、参与玩家小于3人</t>
  </si>
  <si>
    <t>1、显示遮罩，遮罩上显示文本"正在更新排行榜"</t>
  </si>
  <si>
    <t>锦标赛详情页-排行榜查看全部</t>
  </si>
  <si>
    <t>排行榜有超过5名的玩家</t>
  </si>
  <si>
    <t>点击"查看全部"按钮</t>
  </si>
  <si>
    <t>1、展开完整排行榜
2、分页显示（每页10个）
3、自己排名高亮显示
4、仅显示奖励对应的玩家名次</t>
  </si>
  <si>
    <t>锦标赛详情页-参与游戏列表</t>
  </si>
  <si>
    <t>锦标赛配置了参与游戏</t>
  </si>
  <si>
    <t>在详情页滚动查看参与游戏区域</t>
  </si>
  <si>
    <t>1、显示参与游戏的列表
2、下滑自动加载更多
3、只有1、2、3个游戏时显示优化
4、积分倍数大于1时显示特殊提示（右上角标签）</t>
  </si>
  <si>
    <t>锦标赛详情页-手动报名</t>
  </si>
  <si>
    <t>1、锦标赛类型为手动报名
2、用户未报名</t>
  </si>
  <si>
    <t>点击"立即加入"按钮</t>
  </si>
  <si>
    <t>1、成功报名
2、按钮消失，显示文本"已参与此项锦标赛"</t>
  </si>
  <si>
    <t>锦标赛详情页-自动报名提示</t>
  </si>
  <si>
    <t>锦标赛类型为自动报名</t>
  </si>
  <si>
    <t>进入自动报名类型的锦标赛详情页</t>
  </si>
  <si>
    <t>显示"满足条件自动参与"提示文字</t>
  </si>
  <si>
    <t>锦标赛详情页-已报名状态</t>
  </si>
  <si>
    <t>进入已报名的锦标赛详情页</t>
  </si>
  <si>
    <t>1、显示"已参与此项锦标赛"
2、显示当前玩家排名和积分</t>
  </si>
  <si>
    <t>锦标赛详情页-奖励说明展示</t>
  </si>
  <si>
    <t>锦标赛配置了奖励</t>
  </si>
  <si>
    <t>在详情页查看奖励说明区域</t>
  </si>
  <si>
    <t>1、显示排行奖励列表
2、奖励类型正确显示（纯金币/纯免费旋转/金币+免费旋转）
3、显示奖励说明文字</t>
  </si>
  <si>
    <t>锦标赛详情页-未开始状态</t>
  </si>
  <si>
    <t>锦标赛未到达开始时间</t>
  </si>
  <si>
    <t>进入未开始的锦标赛详情页</t>
  </si>
  <si>
    <t>1、显示开始时间（格式：时:分 日/月/年）
2、不显示倒计时
3、如果天数为0时，不显示天数部分</t>
  </si>
  <si>
    <t>锦标赛详情页-已结束状态</t>
  </si>
  <si>
    <t>锦标赛已结束</t>
  </si>
  <si>
    <t>进入已结束的锦标赛详情页</t>
  </si>
  <si>
    <t>1、显示"已结束"标识
2、显示最终排行榜
3、显示奖励发放状态</t>
  </si>
  <si>
    <t>锦标赛详情页-结算中状态</t>
  </si>
  <si>
    <t>锦标赛已结束但奖励未发放</t>
  </si>
  <si>
    <t>进入结算中的锦标赛详情页</t>
  </si>
  <si>
    <t>1、显示"结算中"提示
2、显示"奖励正在结算当中，请耐心等待"
3、排行榜数据暂不显示或显示提示</t>
  </si>
  <si>
    <t>锦标赛详情页-手动领取奖励</t>
  </si>
  <si>
    <t>1、奖励类型为手动领取
2、奖励已派发
3、用户有可领取的奖励</t>
  </si>
  <si>
    <t>1、进入有可领取奖励的锦标赛详情页
2、点击"领取"按钮</t>
  </si>
  <si>
    <t>1、成功领取奖励
2、状态变为"已领取"
3、红点提示消失</t>
  </si>
  <si>
    <t>锦标赛详情页-自动发放奖励</t>
  </si>
  <si>
    <t>奖励类型为自动发放</t>
  </si>
  <si>
    <t>奖励发放后查看详情页</t>
  </si>
  <si>
    <t>1、不显示领取入口
2、奖励通过站内信发放</t>
  </si>
  <si>
    <t>锦标赛详情页-奖池格式展示</t>
  </si>
  <si>
    <t>锦标赛配置不同类型奖池</t>
  </si>
  <si>
    <t>分别查看纯金币、纯免费旋转、金币+免费旋转类型的锦标赛</t>
  </si>
  <si>
    <t>1、纯金币：显示货币符号+金额
2、纯免费旋转：显示免费旋转数量
3、金币+免费旋转：同时显示两者</t>
  </si>
  <si>
    <t>锦标赛详情页-积分类型展示</t>
  </si>
  <si>
    <t>不同积分计算类型</t>
  </si>
  <si>
    <t>查看不同积分类型的锦标赛详情</t>
  </si>
  <si>
    <t>1、下注金额=积分：显示"下注金额 = 积分"
2、下注次数=积分：显示"下注次数 = 积分"
3、中奖金额=积分：显示"中奖金额 = 积分"
4、中奖倍数=积分：显示"中奖倍数 = 积分"
5、下注金额满XXX=1积分：显示具体规则</t>
  </si>
  <si>
    <t>锦标赛详情页-最小投注金额验证</t>
  </si>
  <si>
    <t>锦标赛配置了最小投注金额</t>
  </si>
  <si>
    <t>1、配置最小投注为R$5.00
2、进行低于5.00的投注</t>
  </si>
  <si>
    <t>低于最小投注金额的订单不计算积分</t>
  </si>
  <si>
    <t>锦标赛详情页-最低中奖倍数验证</t>
  </si>
  <si>
    <t>积分类型为中奖倍数且配置了最低中奖倍数</t>
  </si>
  <si>
    <t>1、配置最低中奖倍数为1.5倍
2、中奖倍数低于1.5倍</t>
  </si>
  <si>
    <t>低于最低中奖倍数的订单不计算积分</t>
  </si>
  <si>
    <t>锦标赛详情页-积分小数位处理</t>
  </si>
  <si>
    <t>积分计算产生小数</t>
  </si>
  <si>
    <t>积分仅保留2位小数，第三位忽略</t>
  </si>
  <si>
    <t>锦标赛详情页-账户异常禁赛</t>
  </si>
  <si>
    <t>用户账户存在异常被后台禁赛</t>
  </si>
  <si>
    <t>使用被禁赛账户进入锦标赛</t>
  </si>
  <si>
    <t>1、显示"账户异常，您无法参与赛事"
2、参与无法获得积分
3、不显示排行榜个人信息</t>
  </si>
  <si>
    <t>锦标赛详情页-重复报名</t>
  </si>
  <si>
    <t>用户已报名锦标赛</t>
  </si>
  <si>
    <t>再次点击报名按钮</t>
  </si>
  <si>
    <t>提示已报名</t>
  </si>
  <si>
    <t>锦标赛详情页-排行榜积分相同排名</t>
  </si>
  <si>
    <t>排行榜有多名玩家积分相同</t>
  </si>
  <si>
    <t>查看排行榜</t>
  </si>
  <si>
    <t>积分相同时，先报名的玩家排名更高</t>
  </si>
  <si>
    <t>锦标赛详情页-周期循环赛手动报名</t>
  </si>
  <si>
    <t>锦标赛为周期循环（每日/每周/每月）且需手动报名</t>
  </si>
  <si>
    <t>1、报名当前期锦标赛
2、下一期开始后查看</t>
  </si>
  <si>
    <t>每期都需要重新报名</t>
  </si>
  <si>
    <t>锦标赛详情页-多语言展示</t>
  </si>
  <si>
    <t>系统支持多语言</t>
  </si>
  <si>
    <t>切换不同语言查看锦标赛</t>
  </si>
  <si>
    <t>所有文字按对应语言显示（标题、规则、奖励说明等）</t>
  </si>
  <si>
    <t>锦标赛详情页-时间格式验证</t>
  </si>
  <si>
    <t>不同状态下的时间显示</t>
  </si>
  <si>
    <t>1、开始时间格式：时:分 日/月/年
2、倒计时格式：天数 时:分:秒
3、已结束显示"已结束"
4、如果天数为0时，不显示天数部分</t>
  </si>
  <si>
    <t>锦标赛详情页-玩家昵称隐藏</t>
  </si>
  <si>
    <t>在排行榜中查看玩家昵称</t>
  </si>
  <si>
    <t>玩家昵称最后3个字符使用*隐藏</t>
  </si>
  <si>
    <t>锦标赛详情页-双倍积分游戏</t>
  </si>
  <si>
    <t>配置了双倍积分的指定游戏</t>
  </si>
  <si>
    <t>在支持双倍积分的游戏中投注</t>
  </si>
  <si>
    <t>指定游戏享受双倍积分</t>
  </si>
  <si>
    <t>锦标赛详情页-跳转参与游戏</t>
  </si>
  <si>
    <t>1、锦标赛配置了参与游戏列表
2、未参与赛事（手动报名）</t>
  </si>
  <si>
    <t>点击参与游戏中的某个游戏</t>
  </si>
  <si>
    <t>1、弹窗提示文本
2、确认后自动点击参与
3、跳转到对应游戏页面</t>
  </si>
  <si>
    <t>1、锦标赛配置了参与游戏列表
2、已参与赛事</t>
  </si>
  <si>
    <t>跳转到对应游戏页面</t>
  </si>
  <si>
    <t>个人中心</t>
  </si>
  <si>
    <t>奖金历史中新增锦标赛</t>
  </si>
  <si>
    <t>领取锦标赛奖励</t>
  </si>
  <si>
    <t>1、查看奖金历史中数据</t>
  </si>
  <si>
    <t>1、新增锦标赛数据</t>
  </si>
  <si>
    <t>奖金历史中新增锦标赛（双钱包）</t>
  </si>
  <si>
    <t>免费旋转活动</t>
  </si>
  <si>
    <t>活动列表新增锦标赛</t>
  </si>
  <si>
    <t>1、查看免费旋转活动列表</t>
  </si>
  <si>
    <t>1、有锦标赛活动且有奖励可领取
2、赠送的免费旋转次数、有效时间、子游戏同后台配置一致</t>
  </si>
  <si>
    <t>跳转锦标赛</t>
  </si>
  <si>
    <t>点击跳转按钮</t>
  </si>
  <si>
    <t>成功跳转锦标赛列表页</t>
  </si>
  <si>
    <t>站内信</t>
  </si>
  <si>
    <t>自动发送站内信</t>
  </si>
  <si>
    <t>1、锦标赛为自动派奖</t>
  </si>
  <si>
    <t>1、参与锦标赛
2、获得可以领取奖励的排名</t>
  </si>
  <si>
    <t>赛事结束后，收到站内信</t>
  </si>
  <si>
    <t>同时领取金币和免费旋转</t>
  </si>
  <si>
    <t>点击领取按钮</t>
  </si>
  <si>
    <t>成功领取奖励</t>
  </si>
  <si>
    <t>同时领取多个锦标赛奖励</t>
  </si>
  <si>
    <t>点击一键领取</t>
  </si>
  <si>
    <t>成功领取所有奖励</t>
  </si>
  <si>
    <t>红点</t>
  </si>
  <si>
    <t>侧边栏红点显示</t>
  </si>
  <si>
    <t>1、锦标赛为手动派发</t>
  </si>
  <si>
    <t>赛事结算结束后，侧边栏显示红点</t>
  </si>
  <si>
    <t>1、侧边栏有红点</t>
  </si>
  <si>
    <t>1、领取对应奖励</t>
  </si>
  <si>
    <t>红点消失</t>
  </si>
  <si>
    <t>锦标赛分页显示</t>
  </si>
  <si>
    <t>赛事结算结束后，已结束分页显示红点</t>
  </si>
  <si>
    <t>1、已结束分页有红点</t>
  </si>
  <si>
    <t>1、后台关闭对应锦标赛展示</t>
  </si>
  <si>
    <t>账服</t>
  </si>
  <si>
    <t>单金币奖励 - 站内信下发</t>
  </si>
  <si>
    <t>1、锦标赛奖励类型为自动派发
2、奖励仅配置金币（无免费旋转）
3、用户获得获奖排名</t>
  </si>
  <si>
    <t>1、锦标赛结束
2、系统自动派发奖励
3、用户查看站内信</t>
  </si>
  <si>
    <t>1、收到站内信，显示奖励金币数量
2、金币已自动发放到账户
3、站内信状态为"已读"</t>
  </si>
  <si>
    <t>【功能测试】【P0】</t>
  </si>
  <si>
    <t>单金币奖励 - 站内信展示格式</t>
  </si>
  <si>
    <t>1、用户有未读的金币奖励站内信</t>
  </si>
  <si>
    <t>1、进入站内信列表
2、查看金币奖励信内容</t>
  </si>
  <si>
    <t>1、显示奖励类型图标（金币）
2、显示金币数量（格式：R$ X,XXX.XX）
3、显示来源"锦标赛奖励"
4、显示时间戳</t>
  </si>
  <si>
    <t>【功能测试】【P1】</t>
  </si>
  <si>
    <t>单金币奖励 - 一键领取入口</t>
  </si>
  <si>
    <t>1、奖励类型为手动领取
2、站内信包含金币奖励</t>
  </si>
  <si>
    <t>1、打开站内信
2、查看领取入口</t>
  </si>
  <si>
    <t>1、显示"领取奖励"按钮
2、按钮显示可领取金币数量</t>
  </si>
  <si>
    <t>单金币奖励 - 领取后状态变更</t>
  </si>
  <si>
    <t>1、用户点击领取金币奖励</t>
  </si>
  <si>
    <t>1、系统处理领取请求
2、更新站内信状态</t>
  </si>
  <si>
    <t>1、金币发放成功
2、站内信状态变为"已领取"
3、按钮变为"已领取"</t>
  </si>
  <si>
    <t>单免费旋转奖励 - 站内信下发</t>
  </si>
  <si>
    <t>1、锦标赛奖励类型为自动派发
2、奖励仅配置免费旋转（无金币）
3、用户获得获奖排名</t>
  </si>
  <si>
    <t>1、收到站内信，显示免费旋转次数
2、显示有效期限
3、免费旋转已添加到账户
4、站内信状态为"已读"</t>
  </si>
  <si>
    <t>【功能测试】【P0】Bug 场景</t>
  </si>
  <si>
    <t>单免费旋转奖励 - 站内信展示格式</t>
  </si>
  <si>
    <t>1、用户有未读的免费旋转奖励站内信</t>
  </si>
  <si>
    <t>1、进入站内信列表
2、查看免费旋转奖励信内容</t>
  </si>
  <si>
    <t>1、显示奖励类型图标（旋转）
2、显示旋转次数（格式：XX 次）
3、显示有效期限
4、显示来源"锦标赛奖励"
5、显示时间戳</t>
  </si>
  <si>
    <t>单免费旋转奖励 - 一键领取入口</t>
  </si>
  <si>
    <t>1、奖励类型为手动领取
2、站内信仅包含免费旋转奖励
3、用户未领取</t>
  </si>
  <si>
    <t>1、显示"领取奖励"按钮
2、按钮显示可领取旋转次数
3、按钮可点击</t>
  </si>
  <si>
    <t>单免费旋转奖励 - 领取后状态变更</t>
  </si>
  <si>
    <t>1、用户点击领取免费旋转奖励</t>
  </si>
  <si>
    <t>1、免费旋转发放成功
2、站内信状态变为"已领取"
3、按钮变为"已领取"</t>
  </si>
  <si>
    <t>单免费旋转奖励 - 领取失败场景</t>
  </si>
  <si>
    <t>1、奖励已过期
2、用户尝试领取</t>
  </si>
  <si>
    <t>1、点击"领取奖励"按钮</t>
  </si>
  <si>
    <t>1、提示"奖励已过期，无法领取"
2、站内信状态不变
3、按钮置灰或消失</t>
  </si>
  <si>
    <t>【异常测试】【P1】</t>
  </si>
  <si>
    <t>单免费旋转奖励 - 重复领取</t>
  </si>
  <si>
    <t>1、奖励已领取
2、用户再次尝试领取</t>
  </si>
  <si>
    <t>1、点击"领取奖励"按钮（如果仍显示）</t>
  </si>
  <si>
    <t>1、提示"奖励已领取"
2、不重复发放
3、按钮状态为"已领取"</t>
  </si>
  <si>
    <t>混合奖励 - 金币 + 免费旋转同时下发</t>
  </si>
  <si>
    <t>1、奖励类型为自动派发
2、奖励配置金币 + 免费旋转
3、用户获得获奖排名</t>
  </si>
  <si>
    <t>1、收到站内信，同时显示金币和旋转次数
2、两项奖励都已发放到账户
3、站内信状态为"已读"</t>
  </si>
  <si>
    <t>混合奖励 - 站内信展示格式</t>
  </si>
  <si>
    <t>1、用户有未读的混合奖励站内信</t>
  </si>
  <si>
    <t>1、进入站内信列表
2、查看混合奖励信内容</t>
  </si>
  <si>
    <t>1、同时显示金币图标和旋转图标
2、分别显示金币数量和旋转次数
3、显示有效期限（针对旋转）
4、显示来源"锦标赛奖励"</t>
  </si>
  <si>
    <t>混合奖励 - 一键领取入口</t>
  </si>
  <si>
    <t>1、奖励类型为手动领取
2、站内信包含金币 + 免费旋转
3、用户未领取</t>
  </si>
  <si>
    <t>1、显示"领取奖励"按钮
2、按钮显示金币数量和旋转次数
3、按钮可点击</t>
  </si>
  <si>
    <t>混合奖励 - 领取后状态变更</t>
  </si>
  <si>
    <t>1、用户点击领取混合奖励</t>
  </si>
  <si>
    <t>1、系统处理领取请求
2、同时发放金币和免费旋转</t>
  </si>
  <si>
    <t>1、两项奖励都发放成功
2、站内信状态变为"已领取"
3、按钮变为"已领取"</t>
  </si>
  <si>
    <t>混合奖励 - 部分领取失败</t>
  </si>
  <si>
    <t>1、金币可发放
2、免费旋转已过期或配置异常</t>
  </si>
  <si>
    <t>1、金币发放成功
2、免费旋转发放失败，提示具体原因
3、站内信状态标记为"部分领取"
4、用户可单独重试免费旋转</t>
  </si>
  <si>
    <t>【异常测试】【P0】</t>
  </si>
  <si>
    <t>纯金币奖励 - 余额不足时派发</t>
  </si>
  <si>
    <t>1、系统奖池金币不足
2、用户应获得金币奖励</t>
  </si>
  <si>
    <t>1、锦标赛结束
2、系统尝试自动派发</t>
  </si>
  <si>
    <t>1、派发失败，记录错误日志
2、站内信状态为"派发失败"
3、支持后续补发</t>
  </si>
  <si>
    <t>纯免费旋转奖励 - 旋转次数为 0</t>
  </si>
  <si>
    <t>1、后台配置奖励时旋转次数设为 0
2、用户获得获奖排名</t>
  </si>
  <si>
    <t>1、锦标赛结束
2、系统派发奖励</t>
  </si>
  <si>
    <t>1、站内信显示旋转次数为 0
2、提示"奖励无效"
3、不生成领取记录</t>
  </si>
  <si>
    <t>【异常测试】【P2】</t>
  </si>
  <si>
    <t>免费旋转奖励 - 有效期限校验</t>
  </si>
  <si>
    <t>1、免费旋转奖励已过期
2、用户尝试领取</t>
  </si>
  <si>
    <t>1、打开站内信
2、点击"领取奖励"</t>
  </si>
  <si>
    <t>1、提示"奖励已过期"
2、按钮置灰或消失
3、站内信状态变为"已过期"</t>
  </si>
  <si>
    <t>免费旋转奖励 - 游戏限制校验</t>
  </si>
  <si>
    <t>1、免费旋转限定特定游戏
2、该游戏已下架或维护中</t>
  </si>
  <si>
    <t>1、用户尝试领取免费旋转</t>
  </si>
  <si>
    <t>1、提示"该游戏暂不可用"
2、支持延期或更换游戏
3、记录异常日志</t>
  </si>
  <si>
    <t>免费旋转奖励 - 领取上限校验</t>
  </si>
  <si>
    <t>1、用户当日免费旋转领取已达上限
2、尝试领取锦标赛奖励</t>
  </si>
  <si>
    <t>1、提示"今日领取已达上限"
2、不发放奖励
3、提示明日再试</t>
  </si>
  <si>
    <t>单免费旋转奖励 - 后台配置验证</t>
  </si>
  <si>
    <t>1、创建锦标赛
2、奖励类型选择"手动领取"
3、仅配置免费旋转次数，金币设为 0</t>
  </si>
  <si>
    <t>1、保存锦标赛配置
2、启用锦标赛</t>
  </si>
  <si>
    <t>1、配置保存成功
2、系统记录奖励类型为"纯免费旋转"
3、无报错</t>
  </si>
  <si>
    <t>【Bug 回归】【P0】</t>
  </si>
  <si>
    <t>单免费旋转奖励 - 站内信可达性</t>
  </si>
  <si>
    <t>1、用户获得纯免费旋转奖励排名
2、锦标赛已结束</t>
  </si>
  <si>
    <t>1、用户登录
2、进入站内信列表</t>
  </si>
  <si>
    <t>1、站内信正常展示
2、显示免费旋转奖励内容
3、无加载错误</t>
  </si>
  <si>
    <t>单免费旋转奖励 - 领取按钮状态</t>
  </si>
  <si>
    <t>1、站内信仅含免费旋转奖励
2、奖励未领取</t>
  </si>
  <si>
    <t>1、打开该站内信
2、检查领取按钮</t>
  </si>
  <si>
    <t>1、按钮正常显示
2、按钮文本为"领取奖励"
3、按钮可点击（非置灰）</t>
  </si>
  <si>
    <t>单免费旋转奖励 - 领取接口响应</t>
  </si>
  <si>
    <t>1、用户点击领取按钮
2、奖励仅含免费旋转</t>
  </si>
  <si>
    <t>1、调用领取接口
2、检查返回结果</t>
  </si>
  <si>
    <t>1、接口返回成功
2、奖励发放成功
3、无"奖励为空"类错误</t>
  </si>
  <si>
    <t>单免费旋转奖励 - 数据库落库验证</t>
  </si>
  <si>
    <t>1、用户领取纯免费旋转奖励</t>
  </si>
  <si>
    <t>1、检查奖励领取记录表
2、检查用户免费旋转余额表</t>
  </si>
  <si>
    <t>1、领取记录完整（包含旋转次数）
2、用户余额正确增加
3、站内信状态更新为"已领取"</t>
  </si>
  <si>
    <t>单免费旋转奖励 - 领取后 UI 刷新</t>
  </si>
  <si>
    <t>1、用户领取成功后</t>
  </si>
  <si>
    <t>1、查看站内信列表
2、查看该站内信详情</t>
  </si>
  <si>
    <t>1、列表显示"已领取"标签
2、详情按钮变为"已领取"
3、无加载中或错误状态</t>
  </si>
  <si>
    <t>【Bug 回归】【P1】</t>
  </si>
  <si>
    <t>纯金币 vs 纯旋转 - 奖励类型识别</t>
  </si>
  <si>
    <t>1、分别配置纯金币、纯旋转、混合奖励</t>
  </si>
  <si>
    <t>1、三种奖励分别派发
2、检查站内信生成逻辑</t>
  </si>
  <si>
    <t>1、三种奖励类型正确识别
2、站内信内容正确填充
3、无类型混淆</t>
  </si>
  <si>
    <t>免费旋转奖励 - 并发领取测试</t>
  </si>
  <si>
    <t>1、多名用户同时领取免费旋转奖励</t>
  </si>
  <si>
    <t>1、并发调用领取接口
2、检查各自奖励发放</t>
  </si>
  <si>
    <t>1、所有用户都成功领取
2、无数据竞争
3、各自记录独立</t>
  </si>
  <si>
    <t>【Bug 回归】【P2】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</si>
</sst>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細明體"/>
      <family val="1"/>
      <charset val="136"/>
    </font>
    <font>
      <b/>
      <sz val="12"/>
      <color theme="0"/>
      <name val="宋体"/>
      <family val="3"/>
      <charset val="134"/>
    </font>
    <font>
      <b/>
      <sz val="12"/>
      <color theme="1"/>
      <name val="微軟正黑體"/>
      <family val="2"/>
      <charset val="136"/>
    </font>
    <font>
      <b/>
      <sz val="12"/>
      <color rgb="FF0000FF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7030A0"/>
      <name val="微軟正黑體"/>
      <family val="2"/>
      <charset val="136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32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14" fontId="4" fillId="5" borderId="1" xfId="1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14" fontId="6" fillId="5" borderId="1" xfId="1" applyNumberFormat="1" applyFont="1" applyFill="1" applyBorder="1" applyAlignment="1">
      <alignment horizontal="left" vertical="center"/>
    </xf>
    <xf numFmtId="46" fontId="4" fillId="5" borderId="1" xfId="1" applyNumberFormat="1" applyFont="1" applyFill="1" applyBorder="1" applyAlignment="1">
      <alignment horizontal="left" vertical="center"/>
    </xf>
    <xf numFmtId="0" fontId="7" fillId="5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8" fillId="5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2">
    <cellStyle name="常规" xfId="0" builtinId="0"/>
    <cellStyle name="一般 10" xfId="1" xr:uid="{00000000-0005-0000-0000-00003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"/>
  <sheetViews>
    <sheetView tabSelected="1" zoomScale="85" zoomScaleNormal="85" workbookViewId="0">
      <pane ySplit="7" topLeftCell="A8" activePane="bottomLeft" state="frozen"/>
      <selection pane="bottomLeft" activeCell="E12" sqref="E12"/>
    </sheetView>
  </sheetViews>
  <sheetFormatPr baseColWidth="10" defaultColWidth="9" defaultRowHeight="15"/>
  <cols>
    <col min="1" max="1" width="16.83203125" style="3" customWidth="1"/>
    <col min="2" max="2" width="12.1640625" style="3" customWidth="1"/>
    <col min="3" max="3" width="37.83203125" style="3" customWidth="1"/>
    <col min="4" max="4" width="40.33203125" style="3" customWidth="1"/>
    <col min="5" max="5" width="36.5" style="3" customWidth="1"/>
    <col min="6" max="6" width="65.6640625" style="3" customWidth="1"/>
    <col min="7" max="7" width="78.1640625" style="3" customWidth="1"/>
    <col min="8" max="8" width="9.33203125" style="3" customWidth="1"/>
    <col min="9" max="9" width="39" style="3" customWidth="1"/>
    <col min="10" max="10" width="9" style="3" customWidth="1"/>
    <col min="11" max="16384" width="9" style="3"/>
  </cols>
  <sheetData>
    <row r="1" spans="1:10" s="1" customFormat="1" ht="16.5" customHeight="1">
      <c r="A1" s="27" t="s">
        <v>0</v>
      </c>
      <c r="B1" s="28"/>
      <c r="C1" s="28"/>
      <c r="D1" s="28"/>
      <c r="E1" s="28"/>
      <c r="F1" s="29"/>
      <c r="G1" s="4" t="s">
        <v>1</v>
      </c>
      <c r="H1" s="5">
        <f>H2+H3+H4</f>
        <v>109</v>
      </c>
      <c r="J1" s="6"/>
    </row>
    <row r="2" spans="1:10" s="1" customFormat="1" ht="16.5" customHeight="1">
      <c r="A2" s="7" t="s">
        <v>2</v>
      </c>
      <c r="B2" s="7"/>
      <c r="C2" s="8" t="s">
        <v>3</v>
      </c>
      <c r="D2" s="8"/>
      <c r="E2" s="9" t="s">
        <v>4</v>
      </c>
      <c r="F2" s="8"/>
      <c r="G2" s="10" t="s">
        <v>5</v>
      </c>
      <c r="H2" s="11">
        <f>COUNTIF(H10:H223,"Pass")</f>
        <v>109</v>
      </c>
      <c r="J2" s="6"/>
    </row>
    <row r="3" spans="1:10" s="1" customFormat="1" ht="16.5" customHeight="1">
      <c r="A3" s="7" t="s">
        <v>6</v>
      </c>
      <c r="B3" s="7"/>
      <c r="C3" s="12"/>
      <c r="D3" s="12"/>
      <c r="E3" s="9" t="s">
        <v>7</v>
      </c>
      <c r="F3" s="13"/>
      <c r="G3" s="14" t="s">
        <v>8</v>
      </c>
      <c r="H3" s="15">
        <f>COUNTIF(H10:H223,"Fail")</f>
        <v>0</v>
      </c>
      <c r="J3" s="6"/>
    </row>
    <row r="4" spans="1:10" s="1" customFormat="1" ht="16.5" customHeight="1">
      <c r="A4" s="9" t="s">
        <v>9</v>
      </c>
      <c r="B4" s="9"/>
      <c r="C4" s="8"/>
      <c r="D4" s="8"/>
      <c r="E4" s="7" t="s">
        <v>10</v>
      </c>
      <c r="F4" s="16"/>
      <c r="G4" s="17" t="s">
        <v>11</v>
      </c>
      <c r="H4" s="18">
        <f>COUNTIF(H10:H223,"N/A")</f>
        <v>0</v>
      </c>
      <c r="J4" s="6"/>
    </row>
    <row r="5" spans="1:10" s="1" customFormat="1" ht="16.5" customHeight="1">
      <c r="A5" s="7" t="s">
        <v>12</v>
      </c>
      <c r="B5" s="7"/>
      <c r="C5" s="8"/>
      <c r="D5" s="8"/>
      <c r="E5" s="9" t="s">
        <v>13</v>
      </c>
      <c r="F5" s="16"/>
      <c r="J5" s="6"/>
    </row>
    <row r="6" spans="1:10" s="1" customFormat="1">
      <c r="A6" s="2" t="s">
        <v>14</v>
      </c>
      <c r="B6" s="2"/>
      <c r="C6" s="31"/>
      <c r="D6" s="28"/>
      <c r="E6" s="28"/>
      <c r="F6" s="29"/>
      <c r="G6" s="19"/>
      <c r="J6" s="6"/>
    </row>
    <row r="7" spans="1:10" s="2" customFormat="1" ht="16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0" t="s">
        <v>21</v>
      </c>
      <c r="H7" s="2" t="s">
        <v>22</v>
      </c>
      <c r="I7" s="2" t="s">
        <v>23</v>
      </c>
    </row>
    <row r="8" spans="1:10" ht="42.75" customHeight="1">
      <c r="A8" s="3">
        <v>1</v>
      </c>
      <c r="C8" s="21" t="s">
        <v>24</v>
      </c>
      <c r="D8" s="3" t="s">
        <v>25</v>
      </c>
      <c r="E8" s="3" t="s">
        <v>26</v>
      </c>
      <c r="F8" s="3" t="s">
        <v>27</v>
      </c>
      <c r="G8" s="22" t="s">
        <v>28</v>
      </c>
      <c r="H8" s="3" t="s">
        <v>5</v>
      </c>
    </row>
    <row r="9" spans="1:10" ht="42.75" customHeight="1">
      <c r="A9" s="3">
        <v>2</v>
      </c>
      <c r="B9" s="30" t="s">
        <v>29</v>
      </c>
      <c r="C9" s="3" t="s">
        <v>30</v>
      </c>
      <c r="D9" s="3" t="s">
        <v>31</v>
      </c>
      <c r="F9" s="3" t="s">
        <v>32</v>
      </c>
      <c r="G9" s="22" t="s">
        <v>33</v>
      </c>
      <c r="H9" s="3" t="s">
        <v>5</v>
      </c>
    </row>
    <row r="10" spans="1:10" ht="28.5" customHeight="1">
      <c r="A10" s="3">
        <v>3</v>
      </c>
      <c r="B10" s="26"/>
      <c r="C10" s="3" t="s">
        <v>30</v>
      </c>
      <c r="D10" s="3" t="s">
        <v>34</v>
      </c>
      <c r="F10" s="22" t="s">
        <v>35</v>
      </c>
      <c r="G10" s="22" t="s">
        <v>36</v>
      </c>
      <c r="H10" s="3" t="s">
        <v>5</v>
      </c>
    </row>
    <row r="11" spans="1:10" ht="28.5" customHeight="1">
      <c r="A11" s="3">
        <v>4</v>
      </c>
      <c r="B11" s="26"/>
      <c r="C11" s="3" t="s">
        <v>30</v>
      </c>
      <c r="D11" s="3" t="s">
        <v>37</v>
      </c>
      <c r="F11" s="22" t="s">
        <v>38</v>
      </c>
      <c r="G11" s="22" t="s">
        <v>39</v>
      </c>
      <c r="H11" s="3" t="s">
        <v>5</v>
      </c>
    </row>
    <row r="12" spans="1:10" ht="28.5" customHeight="1">
      <c r="A12" s="3">
        <v>5</v>
      </c>
      <c r="B12" s="26"/>
      <c r="C12" s="3" t="s">
        <v>30</v>
      </c>
      <c r="D12" s="3" t="s">
        <v>40</v>
      </c>
      <c r="F12" s="22" t="s">
        <v>41</v>
      </c>
      <c r="G12" s="22" t="s">
        <v>36</v>
      </c>
      <c r="H12" s="3" t="s">
        <v>5</v>
      </c>
    </row>
    <row r="13" spans="1:10" ht="28.5" customHeight="1">
      <c r="A13" s="3">
        <v>6</v>
      </c>
      <c r="B13" s="26"/>
      <c r="C13" s="3" t="s">
        <v>30</v>
      </c>
      <c r="D13" s="3" t="s">
        <v>42</v>
      </c>
      <c r="F13" s="22" t="s">
        <v>43</v>
      </c>
      <c r="G13" s="22" t="s">
        <v>44</v>
      </c>
      <c r="H13" s="3" t="s">
        <v>5</v>
      </c>
    </row>
    <row r="14" spans="1:10" ht="28.5" customHeight="1">
      <c r="A14" s="3">
        <v>7</v>
      </c>
      <c r="B14" s="26"/>
      <c r="C14" s="3" t="s">
        <v>30</v>
      </c>
      <c r="D14" s="3" t="s">
        <v>45</v>
      </c>
      <c r="F14" s="22" t="s">
        <v>46</v>
      </c>
      <c r="G14" s="22" t="s">
        <v>47</v>
      </c>
      <c r="H14" s="3" t="s">
        <v>5</v>
      </c>
    </row>
    <row r="15" spans="1:10" ht="28.5" customHeight="1">
      <c r="A15" s="3">
        <v>8</v>
      </c>
      <c r="B15" s="26"/>
      <c r="C15" s="3" t="s">
        <v>30</v>
      </c>
      <c r="D15" s="3" t="s">
        <v>48</v>
      </c>
      <c r="F15" s="22" t="s">
        <v>49</v>
      </c>
      <c r="G15" s="22" t="s">
        <v>50</v>
      </c>
      <c r="H15" s="3" t="s">
        <v>5</v>
      </c>
    </row>
    <row r="16" spans="1:10" ht="28.5" customHeight="1">
      <c r="A16" s="3">
        <v>9</v>
      </c>
      <c r="B16" s="26"/>
      <c r="C16" s="3" t="s">
        <v>30</v>
      </c>
      <c r="D16" s="3" t="s">
        <v>51</v>
      </c>
      <c r="F16" s="22" t="s">
        <v>52</v>
      </c>
      <c r="G16" s="22" t="s">
        <v>53</v>
      </c>
      <c r="H16" s="3" t="s">
        <v>5</v>
      </c>
    </row>
    <row r="17" spans="1:9" ht="28.5" customHeight="1">
      <c r="A17" s="3">
        <v>10</v>
      </c>
      <c r="B17" s="26"/>
      <c r="C17" s="3" t="s">
        <v>30</v>
      </c>
      <c r="D17" s="3" t="s">
        <v>54</v>
      </c>
      <c r="F17" s="22" t="s">
        <v>55</v>
      </c>
      <c r="G17" s="22" t="s">
        <v>56</v>
      </c>
      <c r="H17" s="3" t="s">
        <v>5</v>
      </c>
    </row>
    <row r="18" spans="1:9" ht="16">
      <c r="A18" s="3">
        <v>11</v>
      </c>
      <c r="B18" s="26"/>
      <c r="C18" s="3" t="s">
        <v>30</v>
      </c>
      <c r="D18" s="3" t="s">
        <v>57</v>
      </c>
      <c r="E18" s="3" t="s">
        <v>58</v>
      </c>
      <c r="F18" s="22" t="s">
        <v>59</v>
      </c>
      <c r="G18" s="22" t="s">
        <v>60</v>
      </c>
      <c r="H18" s="3" t="s">
        <v>5</v>
      </c>
      <c r="I18" s="25" t="s">
        <v>61</v>
      </c>
    </row>
    <row r="19" spans="1:9" ht="16">
      <c r="A19" s="3">
        <v>12</v>
      </c>
      <c r="B19" s="26"/>
      <c r="C19" s="3" t="s">
        <v>30</v>
      </c>
      <c r="D19" s="3" t="s">
        <v>62</v>
      </c>
      <c r="E19" s="3" t="s">
        <v>58</v>
      </c>
      <c r="F19" s="22" t="s">
        <v>59</v>
      </c>
      <c r="G19" s="22" t="s">
        <v>60</v>
      </c>
      <c r="H19" s="3" t="s">
        <v>5</v>
      </c>
      <c r="I19" s="26"/>
    </row>
    <row r="20" spans="1:9" ht="128.25" customHeight="1">
      <c r="A20" s="3">
        <v>13</v>
      </c>
      <c r="B20" s="26"/>
      <c r="C20" s="3" t="s">
        <v>63</v>
      </c>
      <c r="D20" s="3" t="s">
        <v>64</v>
      </c>
      <c r="F20" s="22" t="s">
        <v>65</v>
      </c>
      <c r="G20" s="22" t="s">
        <v>66</v>
      </c>
      <c r="H20" s="3" t="s">
        <v>5</v>
      </c>
    </row>
    <row r="21" spans="1:9" ht="71.25" customHeight="1">
      <c r="A21" s="3">
        <v>14</v>
      </c>
      <c r="B21" s="26"/>
      <c r="C21" s="3" t="s">
        <v>63</v>
      </c>
      <c r="D21" s="3" t="s">
        <v>67</v>
      </c>
      <c r="F21" s="22" t="s">
        <v>68</v>
      </c>
      <c r="G21" s="22" t="s">
        <v>69</v>
      </c>
      <c r="H21" s="3" t="s">
        <v>5</v>
      </c>
    </row>
    <row r="22" spans="1:9" ht="71.25" customHeight="1">
      <c r="A22" s="3">
        <v>15</v>
      </c>
      <c r="B22" s="26"/>
      <c r="C22" s="3" t="s">
        <v>63</v>
      </c>
      <c r="D22" s="3" t="s">
        <v>70</v>
      </c>
      <c r="F22" s="22" t="s">
        <v>71</v>
      </c>
      <c r="G22" s="22" t="s">
        <v>72</v>
      </c>
      <c r="H22" s="3" t="s">
        <v>5</v>
      </c>
    </row>
    <row r="23" spans="1:9" ht="42.75" customHeight="1">
      <c r="A23" s="3">
        <v>16</v>
      </c>
      <c r="B23" s="26"/>
      <c r="C23" s="3" t="s">
        <v>63</v>
      </c>
      <c r="D23" s="3" t="s">
        <v>73</v>
      </c>
      <c r="F23" s="22" t="s">
        <v>74</v>
      </c>
      <c r="G23" s="22" t="s">
        <v>75</v>
      </c>
      <c r="H23" s="3" t="s">
        <v>5</v>
      </c>
    </row>
    <row r="24" spans="1:9" ht="28.5" customHeight="1">
      <c r="A24" s="3">
        <v>17</v>
      </c>
      <c r="B24" s="26"/>
      <c r="C24" s="3" t="s">
        <v>63</v>
      </c>
      <c r="D24" s="3" t="s">
        <v>76</v>
      </c>
      <c r="F24" s="22" t="s">
        <v>77</v>
      </c>
      <c r="G24" s="22" t="s">
        <v>78</v>
      </c>
      <c r="H24" s="3" t="s">
        <v>5</v>
      </c>
    </row>
    <row r="25" spans="1:9" ht="42.75" customHeight="1">
      <c r="A25" s="3">
        <v>18</v>
      </c>
      <c r="B25" s="26"/>
      <c r="C25" s="3" t="s">
        <v>63</v>
      </c>
      <c r="D25" s="3" t="s">
        <v>79</v>
      </c>
      <c r="F25" s="22" t="s">
        <v>80</v>
      </c>
      <c r="G25" s="22" t="s">
        <v>81</v>
      </c>
      <c r="H25" s="3" t="s">
        <v>5</v>
      </c>
    </row>
    <row r="26" spans="1:9" ht="28.5" customHeight="1">
      <c r="A26" s="3">
        <v>19</v>
      </c>
      <c r="B26" s="26"/>
      <c r="C26" s="3" t="s">
        <v>63</v>
      </c>
      <c r="D26" s="3" t="s">
        <v>82</v>
      </c>
      <c r="F26" s="22" t="s">
        <v>83</v>
      </c>
      <c r="G26" s="22" t="s">
        <v>84</v>
      </c>
      <c r="H26" s="3" t="s">
        <v>5</v>
      </c>
    </row>
    <row r="27" spans="1:9" ht="42.75" customHeight="1">
      <c r="A27" s="3">
        <v>20</v>
      </c>
      <c r="B27" s="26"/>
      <c r="C27" s="3" t="s">
        <v>63</v>
      </c>
      <c r="D27" s="3" t="s">
        <v>85</v>
      </c>
      <c r="F27" s="22" t="s">
        <v>86</v>
      </c>
      <c r="G27" s="22" t="s">
        <v>87</v>
      </c>
      <c r="H27" s="3" t="s">
        <v>5</v>
      </c>
    </row>
    <row r="28" spans="1:9" ht="57" customHeight="1">
      <c r="A28" s="3">
        <v>21</v>
      </c>
      <c r="B28" s="26"/>
      <c r="C28" s="3" t="s">
        <v>63</v>
      </c>
      <c r="D28" s="3" t="s">
        <v>88</v>
      </c>
      <c r="F28" s="22" t="s">
        <v>89</v>
      </c>
      <c r="G28" s="22" t="s">
        <v>90</v>
      </c>
      <c r="H28" s="3" t="s">
        <v>5</v>
      </c>
    </row>
    <row r="29" spans="1:9" ht="28.5" customHeight="1">
      <c r="A29" s="3">
        <v>22</v>
      </c>
      <c r="B29" s="26"/>
      <c r="C29" s="3" t="s">
        <v>63</v>
      </c>
      <c r="D29" s="3" t="s">
        <v>91</v>
      </c>
      <c r="F29" s="22" t="s">
        <v>92</v>
      </c>
      <c r="G29" s="22" t="s">
        <v>93</v>
      </c>
      <c r="H29" s="3" t="s">
        <v>5</v>
      </c>
    </row>
    <row r="30" spans="1:9" ht="28.5" customHeight="1">
      <c r="A30" s="3">
        <v>23</v>
      </c>
      <c r="B30" s="26"/>
      <c r="C30" s="3" t="s">
        <v>63</v>
      </c>
      <c r="D30" s="3" t="s">
        <v>94</v>
      </c>
      <c r="F30" s="22" t="s">
        <v>95</v>
      </c>
      <c r="G30" s="22" t="s">
        <v>96</v>
      </c>
      <c r="H30" s="3" t="s">
        <v>5</v>
      </c>
    </row>
    <row r="31" spans="1:9" ht="42.75" customHeight="1">
      <c r="A31" s="3">
        <v>24</v>
      </c>
      <c r="B31" s="26"/>
      <c r="C31" s="3" t="s">
        <v>63</v>
      </c>
      <c r="D31" s="3" t="s">
        <v>97</v>
      </c>
      <c r="F31" s="22" t="s">
        <v>98</v>
      </c>
      <c r="G31" s="22" t="s">
        <v>99</v>
      </c>
      <c r="H31" s="3" t="s">
        <v>5</v>
      </c>
    </row>
    <row r="32" spans="1:9" ht="42.75" customHeight="1">
      <c r="A32" s="3">
        <v>25</v>
      </c>
      <c r="B32" s="26"/>
      <c r="C32" s="3" t="s">
        <v>63</v>
      </c>
      <c r="D32" s="3" t="s">
        <v>100</v>
      </c>
      <c r="F32" s="22" t="s">
        <v>101</v>
      </c>
      <c r="G32" s="22" t="s">
        <v>102</v>
      </c>
      <c r="H32" s="3" t="s">
        <v>5</v>
      </c>
    </row>
    <row r="33" spans="1:9" ht="57" customHeight="1">
      <c r="A33" s="3">
        <v>26</v>
      </c>
      <c r="B33" s="26"/>
      <c r="C33" s="3" t="s">
        <v>63</v>
      </c>
      <c r="D33" s="3" t="s">
        <v>103</v>
      </c>
      <c r="F33" s="22" t="s">
        <v>104</v>
      </c>
      <c r="G33" s="22" t="s">
        <v>105</v>
      </c>
      <c r="H33" s="3" t="s">
        <v>5</v>
      </c>
    </row>
    <row r="34" spans="1:9" ht="57" customHeight="1">
      <c r="A34" s="3">
        <v>27</v>
      </c>
      <c r="B34" s="26"/>
      <c r="C34" s="3" t="s">
        <v>63</v>
      </c>
      <c r="D34" s="3" t="s">
        <v>106</v>
      </c>
      <c r="F34" s="22" t="s">
        <v>107</v>
      </c>
      <c r="G34" s="22" t="s">
        <v>108</v>
      </c>
      <c r="H34" s="3" t="s">
        <v>5</v>
      </c>
    </row>
    <row r="35" spans="1:9" ht="28.5" customHeight="1">
      <c r="A35" s="3">
        <v>28</v>
      </c>
      <c r="B35" s="26"/>
      <c r="C35" s="3" t="s">
        <v>63</v>
      </c>
      <c r="D35" s="3" t="s">
        <v>109</v>
      </c>
      <c r="F35" s="22" t="s">
        <v>110</v>
      </c>
      <c r="G35" s="22" t="s">
        <v>111</v>
      </c>
      <c r="H35" s="3" t="s">
        <v>5</v>
      </c>
      <c r="I35" s="3" t="s">
        <v>112</v>
      </c>
    </row>
    <row r="36" spans="1:9" ht="28.5" customHeight="1">
      <c r="A36" s="3">
        <v>29</v>
      </c>
      <c r="B36" s="26"/>
      <c r="C36" s="3" t="s">
        <v>63</v>
      </c>
      <c r="D36" s="3" t="s">
        <v>113</v>
      </c>
      <c r="F36" s="22" t="s">
        <v>114</v>
      </c>
      <c r="G36" s="22" t="s">
        <v>115</v>
      </c>
      <c r="H36" s="3" t="s">
        <v>5</v>
      </c>
    </row>
    <row r="37" spans="1:9" ht="28.5" customHeight="1">
      <c r="A37" s="3">
        <v>30</v>
      </c>
      <c r="B37" s="26"/>
      <c r="C37" s="3" t="s">
        <v>63</v>
      </c>
      <c r="D37" s="3" t="s">
        <v>116</v>
      </c>
      <c r="F37" s="22" t="s">
        <v>117</v>
      </c>
      <c r="G37" s="22" t="s">
        <v>118</v>
      </c>
      <c r="H37" s="3" t="s">
        <v>5</v>
      </c>
    </row>
    <row r="38" spans="1:9" ht="42.75" customHeight="1">
      <c r="A38" s="3">
        <v>31</v>
      </c>
      <c r="B38" s="26"/>
      <c r="C38" s="3" t="s">
        <v>63</v>
      </c>
      <c r="D38" s="3" t="s">
        <v>119</v>
      </c>
      <c r="F38" s="22" t="s">
        <v>120</v>
      </c>
      <c r="G38" s="22" t="s">
        <v>121</v>
      </c>
      <c r="H38" s="3" t="s">
        <v>5</v>
      </c>
      <c r="I38" s="22" t="s">
        <v>122</v>
      </c>
    </row>
    <row r="39" spans="1:9">
      <c r="A39" s="3">
        <v>32</v>
      </c>
      <c r="B39" s="26"/>
      <c r="F39" s="22"/>
      <c r="G39" s="22"/>
      <c r="H39" s="3" t="s">
        <v>5</v>
      </c>
    </row>
    <row r="40" spans="1:9" ht="57" customHeight="1">
      <c r="A40" s="3">
        <v>33</v>
      </c>
      <c r="B40" s="26"/>
      <c r="C40" s="3" t="s">
        <v>123</v>
      </c>
      <c r="D40" s="3" t="s">
        <v>124</v>
      </c>
      <c r="F40" s="22" t="s">
        <v>125</v>
      </c>
      <c r="G40" s="22" t="s">
        <v>126</v>
      </c>
      <c r="H40" s="3" t="s">
        <v>5</v>
      </c>
    </row>
    <row r="41" spans="1:9" ht="42.75" customHeight="1">
      <c r="A41" s="3">
        <v>34</v>
      </c>
      <c r="B41" s="26"/>
      <c r="C41" s="3" t="s">
        <v>123</v>
      </c>
      <c r="D41" s="3" t="s">
        <v>127</v>
      </c>
      <c r="F41" s="22" t="s">
        <v>128</v>
      </c>
      <c r="G41" s="22" t="s">
        <v>129</v>
      </c>
      <c r="H41" s="3" t="s">
        <v>5</v>
      </c>
    </row>
    <row r="42" spans="1:9" ht="42.75" customHeight="1">
      <c r="A42" s="3">
        <v>35</v>
      </c>
      <c r="B42" s="26"/>
      <c r="C42" s="3" t="s">
        <v>123</v>
      </c>
      <c r="D42" s="3" t="s">
        <v>130</v>
      </c>
      <c r="F42" s="22" t="s">
        <v>131</v>
      </c>
      <c r="G42" s="22" t="s">
        <v>132</v>
      </c>
      <c r="H42" s="3" t="s">
        <v>5</v>
      </c>
    </row>
    <row r="43" spans="1:9" ht="28.5" customHeight="1">
      <c r="A43" s="3">
        <v>36</v>
      </c>
      <c r="B43" s="26"/>
      <c r="C43" s="3" t="s">
        <v>123</v>
      </c>
      <c r="D43" s="3" t="s">
        <v>133</v>
      </c>
      <c r="F43" s="22" t="s">
        <v>134</v>
      </c>
      <c r="G43" s="22" t="s">
        <v>135</v>
      </c>
      <c r="H43" s="3" t="s">
        <v>5</v>
      </c>
      <c r="I43" s="3" t="s">
        <v>136</v>
      </c>
    </row>
    <row r="44" spans="1:9" ht="28.5" customHeight="1">
      <c r="A44" s="3">
        <v>37</v>
      </c>
      <c r="B44" s="26"/>
      <c r="C44" s="3" t="s">
        <v>123</v>
      </c>
      <c r="D44" s="3" t="s">
        <v>137</v>
      </c>
      <c r="F44" s="22" t="s">
        <v>138</v>
      </c>
      <c r="G44" s="22" t="s">
        <v>139</v>
      </c>
      <c r="H44" s="3" t="s">
        <v>5</v>
      </c>
    </row>
    <row r="45" spans="1:9" ht="16">
      <c r="A45" s="3">
        <v>38</v>
      </c>
      <c r="B45" s="26"/>
      <c r="C45" s="3" t="s">
        <v>123</v>
      </c>
      <c r="D45" s="3" t="s">
        <v>140</v>
      </c>
      <c r="F45" s="3" t="s">
        <v>141</v>
      </c>
      <c r="G45" s="22" t="s">
        <v>142</v>
      </c>
      <c r="H45" s="3" t="s">
        <v>5</v>
      </c>
      <c r="I45" s="3" t="s">
        <v>143</v>
      </c>
    </row>
    <row r="46" spans="1:9" ht="16">
      <c r="A46" s="3">
        <v>39</v>
      </c>
      <c r="B46" s="26"/>
      <c r="C46" s="3" t="s">
        <v>123</v>
      </c>
      <c r="D46" s="3" t="s">
        <v>140</v>
      </c>
      <c r="F46" s="3" t="s">
        <v>144</v>
      </c>
      <c r="G46" s="22" t="s">
        <v>145</v>
      </c>
      <c r="H46" s="3" t="s">
        <v>5</v>
      </c>
    </row>
    <row r="47" spans="1:9" ht="28.5" customHeight="1">
      <c r="A47" s="3">
        <v>40</v>
      </c>
      <c r="B47" s="26"/>
      <c r="C47" s="3" t="s">
        <v>146</v>
      </c>
      <c r="D47" s="3" t="s">
        <v>147</v>
      </c>
      <c r="F47" s="22" t="s">
        <v>148</v>
      </c>
      <c r="G47" s="22" t="s">
        <v>149</v>
      </c>
      <c r="H47" s="3" t="s">
        <v>5</v>
      </c>
    </row>
    <row r="48" spans="1:9" ht="42.75" customHeight="1">
      <c r="A48" s="3">
        <v>41</v>
      </c>
      <c r="B48" s="26"/>
      <c r="C48" s="3" t="s">
        <v>146</v>
      </c>
      <c r="D48" s="3" t="s">
        <v>150</v>
      </c>
      <c r="F48" s="22" t="s">
        <v>151</v>
      </c>
      <c r="G48" s="22" t="s">
        <v>152</v>
      </c>
      <c r="H48" s="3" t="s">
        <v>5</v>
      </c>
    </row>
    <row r="49" spans="1:9" ht="42.75" customHeight="1">
      <c r="A49" s="3">
        <v>42</v>
      </c>
      <c r="B49" s="26"/>
      <c r="C49" s="3" t="s">
        <v>146</v>
      </c>
      <c r="D49" s="3" t="s">
        <v>153</v>
      </c>
      <c r="F49" s="22" t="s">
        <v>154</v>
      </c>
      <c r="G49" s="22" t="s">
        <v>155</v>
      </c>
      <c r="H49" s="3" t="s">
        <v>5</v>
      </c>
    </row>
    <row r="50" spans="1:9" ht="42.75" customHeight="1">
      <c r="A50" s="3">
        <v>43</v>
      </c>
      <c r="B50" s="26"/>
      <c r="C50" s="3" t="s">
        <v>146</v>
      </c>
      <c r="D50" s="3" t="s">
        <v>156</v>
      </c>
      <c r="F50" s="22" t="s">
        <v>157</v>
      </c>
      <c r="G50" s="22" t="s">
        <v>158</v>
      </c>
      <c r="H50" s="3" t="s">
        <v>5</v>
      </c>
    </row>
    <row r="51" spans="1:9" ht="42.75" customHeight="1">
      <c r="A51" s="3">
        <v>44</v>
      </c>
      <c r="B51" s="26"/>
      <c r="C51" s="3" t="s">
        <v>146</v>
      </c>
      <c r="D51" s="3" t="s">
        <v>159</v>
      </c>
      <c r="F51" s="22" t="s">
        <v>160</v>
      </c>
      <c r="G51" s="22" t="s">
        <v>53</v>
      </c>
      <c r="H51" s="3" t="s">
        <v>5</v>
      </c>
    </row>
    <row r="52" spans="1:9" ht="28.5" customHeight="1">
      <c r="A52" s="3">
        <v>45</v>
      </c>
      <c r="B52" s="26"/>
      <c r="C52" s="3" t="s">
        <v>146</v>
      </c>
      <c r="D52" s="3" t="s">
        <v>161</v>
      </c>
      <c r="F52" s="22" t="s">
        <v>162</v>
      </c>
      <c r="G52" s="22" t="s">
        <v>163</v>
      </c>
      <c r="H52" s="3" t="s">
        <v>5</v>
      </c>
    </row>
    <row r="53" spans="1:9" ht="28.5" customHeight="1">
      <c r="A53" s="3">
        <v>46</v>
      </c>
      <c r="B53" s="26"/>
      <c r="C53" s="3" t="s">
        <v>146</v>
      </c>
      <c r="D53" s="3" t="s">
        <v>164</v>
      </c>
      <c r="F53" s="22" t="s">
        <v>165</v>
      </c>
      <c r="G53" s="22" t="s">
        <v>166</v>
      </c>
      <c r="H53" s="3" t="s">
        <v>5</v>
      </c>
    </row>
    <row r="54" spans="1:9" ht="57" customHeight="1">
      <c r="A54" s="3">
        <v>47</v>
      </c>
      <c r="B54" s="26"/>
      <c r="C54" s="3" t="s">
        <v>167</v>
      </c>
      <c r="D54" s="3" t="s">
        <v>168</v>
      </c>
      <c r="F54" s="22" t="s">
        <v>169</v>
      </c>
      <c r="G54" s="22" t="s">
        <v>170</v>
      </c>
      <c r="H54" s="3" t="s">
        <v>5</v>
      </c>
    </row>
    <row r="55" spans="1:9" ht="57" customHeight="1">
      <c r="A55" s="3">
        <v>48</v>
      </c>
      <c r="B55" s="26"/>
      <c r="C55" s="3" t="s">
        <v>167</v>
      </c>
      <c r="D55" s="3" t="s">
        <v>171</v>
      </c>
      <c r="F55" s="22" t="s">
        <v>172</v>
      </c>
      <c r="G55" s="22" t="s">
        <v>173</v>
      </c>
      <c r="H55" s="3" t="s">
        <v>5</v>
      </c>
    </row>
    <row r="56" spans="1:9" ht="28.5" customHeight="1">
      <c r="A56" s="3">
        <v>49</v>
      </c>
      <c r="B56" s="26"/>
      <c r="C56" s="3" t="s">
        <v>167</v>
      </c>
      <c r="D56" s="3" t="s">
        <v>174</v>
      </c>
      <c r="F56" s="22" t="s">
        <v>175</v>
      </c>
      <c r="G56" s="22" t="s">
        <v>176</v>
      </c>
      <c r="H56" s="3" t="s">
        <v>5</v>
      </c>
    </row>
    <row r="57" spans="1:9" ht="28.5" customHeight="1">
      <c r="A57" s="3">
        <v>50</v>
      </c>
      <c r="B57" s="26"/>
      <c r="C57" s="3" t="s">
        <v>167</v>
      </c>
      <c r="D57" s="3" t="s">
        <v>177</v>
      </c>
      <c r="F57" s="22" t="s">
        <v>178</v>
      </c>
      <c r="G57" s="22" t="s">
        <v>179</v>
      </c>
      <c r="H57" s="3" t="s">
        <v>5</v>
      </c>
    </row>
    <row r="58" spans="1:9" ht="28.5" customHeight="1">
      <c r="A58" s="3">
        <v>51</v>
      </c>
      <c r="B58" s="26"/>
      <c r="C58" s="3" t="s">
        <v>167</v>
      </c>
      <c r="D58" s="3" t="s">
        <v>180</v>
      </c>
      <c r="F58" s="22" t="s">
        <v>181</v>
      </c>
      <c r="G58" s="22" t="s">
        <v>182</v>
      </c>
      <c r="H58" s="3" t="s">
        <v>5</v>
      </c>
    </row>
    <row r="59" spans="1:9" ht="57" customHeight="1">
      <c r="A59" s="3">
        <v>52</v>
      </c>
      <c r="B59" s="26"/>
      <c r="C59" s="3" t="s">
        <v>183</v>
      </c>
      <c r="D59" s="3" t="s">
        <v>184</v>
      </c>
      <c r="F59" s="22" t="s">
        <v>185</v>
      </c>
      <c r="G59" s="22" t="s">
        <v>186</v>
      </c>
      <c r="H59" s="3" t="s">
        <v>5</v>
      </c>
    </row>
    <row r="60" spans="1:9" ht="57" customHeight="1">
      <c r="A60" s="3">
        <v>53</v>
      </c>
      <c r="B60" s="26"/>
      <c r="C60" s="3" t="s">
        <v>183</v>
      </c>
      <c r="D60" s="3" t="s">
        <v>187</v>
      </c>
      <c r="F60" s="22" t="s">
        <v>188</v>
      </c>
      <c r="G60" s="22" t="s">
        <v>189</v>
      </c>
      <c r="H60" s="3" t="s">
        <v>5</v>
      </c>
    </row>
    <row r="61" spans="1:9" ht="42.75" customHeight="1">
      <c r="A61" s="3">
        <v>54</v>
      </c>
      <c r="B61" s="26"/>
      <c r="C61" s="3" t="s">
        <v>183</v>
      </c>
      <c r="D61" s="3" t="s">
        <v>190</v>
      </c>
      <c r="F61" s="22" t="s">
        <v>191</v>
      </c>
      <c r="G61" s="22" t="s">
        <v>192</v>
      </c>
      <c r="H61" s="3" t="s">
        <v>5</v>
      </c>
    </row>
    <row r="62" spans="1:9" ht="42.75" customHeight="1">
      <c r="A62" s="3">
        <v>55</v>
      </c>
      <c r="B62" s="26"/>
      <c r="C62" s="3" t="s">
        <v>183</v>
      </c>
      <c r="D62" s="3" t="s">
        <v>193</v>
      </c>
      <c r="F62" s="22" t="s">
        <v>194</v>
      </c>
      <c r="G62" s="22" t="s">
        <v>195</v>
      </c>
      <c r="H62" s="3" t="s">
        <v>5</v>
      </c>
    </row>
    <row r="63" spans="1:9" ht="42.75" customHeight="1">
      <c r="A63" s="3">
        <v>56</v>
      </c>
      <c r="B63" s="26"/>
      <c r="C63" s="3" t="s">
        <v>183</v>
      </c>
      <c r="D63" s="3" t="s">
        <v>196</v>
      </c>
      <c r="F63" s="22" t="s">
        <v>197</v>
      </c>
      <c r="G63" s="22" t="s">
        <v>198</v>
      </c>
      <c r="H63" s="3" t="s">
        <v>5</v>
      </c>
    </row>
    <row r="64" spans="1:9" ht="42.75" customHeight="1">
      <c r="A64" s="3">
        <v>57</v>
      </c>
      <c r="B64" s="26"/>
      <c r="C64" s="3" t="s">
        <v>183</v>
      </c>
      <c r="D64" s="3" t="s">
        <v>199</v>
      </c>
      <c r="F64" s="22" t="s">
        <v>200</v>
      </c>
      <c r="G64" s="22" t="s">
        <v>201</v>
      </c>
      <c r="H64" s="3" t="s">
        <v>5</v>
      </c>
      <c r="I64" s="3" t="s">
        <v>202</v>
      </c>
    </row>
    <row r="65" spans="1:9" ht="42.75" customHeight="1">
      <c r="A65" s="3">
        <v>58</v>
      </c>
      <c r="B65" s="26"/>
      <c r="C65" s="3" t="s">
        <v>183</v>
      </c>
      <c r="D65" s="3" t="s">
        <v>203</v>
      </c>
      <c r="F65" s="22" t="s">
        <v>204</v>
      </c>
      <c r="G65" s="22" t="s">
        <v>205</v>
      </c>
      <c r="H65" s="3" t="s">
        <v>5</v>
      </c>
      <c r="I65" s="3" t="s">
        <v>202</v>
      </c>
    </row>
    <row r="66" spans="1:9" ht="42.75" customHeight="1">
      <c r="A66" s="3">
        <v>59</v>
      </c>
      <c r="B66" s="26"/>
      <c r="C66" s="3" t="s">
        <v>183</v>
      </c>
      <c r="D66" s="3" t="s">
        <v>206</v>
      </c>
      <c r="E66" s="22" t="s">
        <v>207</v>
      </c>
      <c r="F66" s="22" t="s">
        <v>208</v>
      </c>
      <c r="G66" s="22" t="s">
        <v>209</v>
      </c>
      <c r="H66" s="3" t="s">
        <v>5</v>
      </c>
    </row>
    <row r="67" spans="1:9" ht="71.25" customHeight="1">
      <c r="A67" s="3">
        <v>60</v>
      </c>
      <c r="B67" s="26"/>
      <c r="C67" s="3" t="s">
        <v>183</v>
      </c>
      <c r="D67" s="3" t="s">
        <v>210</v>
      </c>
      <c r="F67" s="22" t="s">
        <v>211</v>
      </c>
      <c r="G67" s="22" t="s">
        <v>212</v>
      </c>
      <c r="H67" s="3" t="s">
        <v>5</v>
      </c>
      <c r="I67" s="3" t="s">
        <v>202</v>
      </c>
    </row>
    <row r="68" spans="1:9" ht="42.75" customHeight="1">
      <c r="A68" s="3">
        <v>61</v>
      </c>
      <c r="B68" s="26"/>
      <c r="C68" s="3" t="s">
        <v>183</v>
      </c>
      <c r="D68" s="3" t="s">
        <v>213</v>
      </c>
      <c r="E68" s="22" t="s">
        <v>214</v>
      </c>
      <c r="F68" s="22" t="s">
        <v>215</v>
      </c>
      <c r="G68" s="22" t="s">
        <v>216</v>
      </c>
      <c r="H68" s="3" t="s">
        <v>5</v>
      </c>
    </row>
    <row r="69" spans="1:9">
      <c r="A69" s="3">
        <v>62</v>
      </c>
      <c r="B69" s="26"/>
      <c r="C69" s="3" t="s">
        <v>217</v>
      </c>
      <c r="D69" s="3" t="s">
        <v>218</v>
      </c>
      <c r="F69" s="3" t="s">
        <v>219</v>
      </c>
      <c r="G69" s="3" t="s">
        <v>220</v>
      </c>
      <c r="H69" s="3" t="s">
        <v>5</v>
      </c>
    </row>
    <row r="70" spans="1:9">
      <c r="A70" s="3">
        <v>63</v>
      </c>
      <c r="B70" s="26"/>
      <c r="C70" s="3" t="s">
        <v>221</v>
      </c>
      <c r="D70" s="3" t="s">
        <v>222</v>
      </c>
      <c r="F70" s="3" t="s">
        <v>223</v>
      </c>
      <c r="G70" s="3" t="s">
        <v>224</v>
      </c>
      <c r="H70" s="3" t="s">
        <v>5</v>
      </c>
    </row>
    <row r="71" spans="1:9">
      <c r="A71" s="3">
        <v>64</v>
      </c>
      <c r="B71" s="26"/>
      <c r="C71" s="3" t="s">
        <v>225</v>
      </c>
      <c r="D71" s="3" t="s">
        <v>222</v>
      </c>
      <c r="F71" s="3" t="s">
        <v>226</v>
      </c>
      <c r="G71" s="3" t="s">
        <v>227</v>
      </c>
      <c r="H71" s="3" t="s">
        <v>5</v>
      </c>
    </row>
    <row r="72" spans="1:9" ht="57" customHeight="1">
      <c r="A72" s="3">
        <v>65</v>
      </c>
      <c r="B72" s="30" t="s">
        <v>228</v>
      </c>
      <c r="C72" s="3" t="s">
        <v>30</v>
      </c>
      <c r="D72" s="3" t="s">
        <v>229</v>
      </c>
      <c r="E72" s="22" t="s">
        <v>230</v>
      </c>
      <c r="F72" s="22" t="s">
        <v>231</v>
      </c>
      <c r="G72" s="22" t="s">
        <v>232</v>
      </c>
      <c r="H72" s="3" t="s">
        <v>5</v>
      </c>
    </row>
    <row r="73" spans="1:9" ht="42.75" customHeight="1">
      <c r="A73" s="3">
        <v>66</v>
      </c>
      <c r="B73" s="26"/>
      <c r="C73" s="3" t="s">
        <v>30</v>
      </c>
      <c r="D73" s="3" t="s">
        <v>233</v>
      </c>
      <c r="E73" s="3" t="s">
        <v>234</v>
      </c>
      <c r="F73" s="22" t="s">
        <v>235</v>
      </c>
      <c r="G73" s="22" t="s">
        <v>236</v>
      </c>
      <c r="H73" s="3" t="s">
        <v>5</v>
      </c>
    </row>
    <row r="74" spans="1:9">
      <c r="A74" s="3">
        <v>67</v>
      </c>
      <c r="B74" s="26"/>
      <c r="C74" s="3" t="s">
        <v>30</v>
      </c>
      <c r="D74" s="3" t="s">
        <v>237</v>
      </c>
      <c r="E74" s="3" t="s">
        <v>238</v>
      </c>
      <c r="F74" s="3" t="s">
        <v>239</v>
      </c>
      <c r="G74" s="3" t="s">
        <v>240</v>
      </c>
      <c r="H74" s="3" t="s">
        <v>5</v>
      </c>
    </row>
    <row r="75" spans="1:9">
      <c r="A75" s="3">
        <v>68</v>
      </c>
      <c r="B75" s="26"/>
      <c r="C75" s="3" t="s">
        <v>30</v>
      </c>
      <c r="D75" s="3" t="s">
        <v>241</v>
      </c>
      <c r="E75" s="3" t="s">
        <v>242</v>
      </c>
      <c r="F75" s="3" t="s">
        <v>239</v>
      </c>
      <c r="G75" s="3" t="s">
        <v>243</v>
      </c>
      <c r="H75" s="3" t="s">
        <v>5</v>
      </c>
    </row>
    <row r="76" spans="1:9">
      <c r="A76" s="3">
        <v>69</v>
      </c>
      <c r="B76" s="26"/>
      <c r="C76" s="3" t="s">
        <v>30</v>
      </c>
      <c r="D76" s="3" t="s">
        <v>244</v>
      </c>
      <c r="E76" s="3" t="s">
        <v>245</v>
      </c>
      <c r="F76" s="3" t="s">
        <v>239</v>
      </c>
      <c r="G76" s="3" t="s">
        <v>246</v>
      </c>
      <c r="H76" s="3" t="s">
        <v>5</v>
      </c>
    </row>
    <row r="77" spans="1:9" ht="16">
      <c r="A77" s="3">
        <v>70</v>
      </c>
      <c r="B77" s="26"/>
      <c r="C77" s="3" t="s">
        <v>247</v>
      </c>
      <c r="D77" s="3" t="s">
        <v>248</v>
      </c>
      <c r="E77" s="3" t="s">
        <v>249</v>
      </c>
      <c r="F77" s="3" t="s">
        <v>250</v>
      </c>
      <c r="G77" s="22" t="s">
        <v>251</v>
      </c>
      <c r="H77" s="3" t="s">
        <v>5</v>
      </c>
    </row>
    <row r="78" spans="1:9">
      <c r="A78" s="3">
        <v>71</v>
      </c>
      <c r="B78" s="26"/>
      <c r="C78" s="3" t="s">
        <v>247</v>
      </c>
      <c r="D78" s="3" t="s">
        <v>252</v>
      </c>
      <c r="E78" s="3" t="s">
        <v>253</v>
      </c>
      <c r="F78" s="3" t="s">
        <v>254</v>
      </c>
      <c r="G78" s="3" t="s">
        <v>255</v>
      </c>
      <c r="H78" s="3" t="s">
        <v>5</v>
      </c>
    </row>
    <row r="79" spans="1:9">
      <c r="A79" s="3">
        <v>72</v>
      </c>
      <c r="B79" s="26"/>
      <c r="C79" s="3" t="s">
        <v>247</v>
      </c>
      <c r="D79" s="3" t="s">
        <v>256</v>
      </c>
      <c r="F79" s="3" t="s">
        <v>257</v>
      </c>
      <c r="G79" s="3" t="s">
        <v>258</v>
      </c>
      <c r="H79" s="3" t="s">
        <v>5</v>
      </c>
    </row>
    <row r="80" spans="1:9" ht="42.75" customHeight="1">
      <c r="A80" s="3">
        <v>73</v>
      </c>
      <c r="B80" s="26"/>
      <c r="C80" s="3" t="s">
        <v>247</v>
      </c>
      <c r="D80" s="3" t="s">
        <v>259</v>
      </c>
      <c r="E80" s="3" t="s">
        <v>260</v>
      </c>
      <c r="F80" s="3" t="s">
        <v>261</v>
      </c>
      <c r="G80" s="22" t="s">
        <v>262</v>
      </c>
      <c r="H80" s="3" t="s">
        <v>5</v>
      </c>
    </row>
    <row r="81" spans="1:8" ht="28.5" customHeight="1">
      <c r="B81" s="26"/>
      <c r="C81" s="3" t="s">
        <v>247</v>
      </c>
      <c r="D81" s="3" t="s">
        <v>259</v>
      </c>
      <c r="E81" s="22" t="s">
        <v>263</v>
      </c>
      <c r="F81" s="3" t="s">
        <v>261</v>
      </c>
      <c r="G81" s="22" t="s">
        <v>264</v>
      </c>
    </row>
    <row r="82" spans="1:8" ht="57" customHeight="1">
      <c r="A82" s="3">
        <v>74</v>
      </c>
      <c r="B82" s="26"/>
      <c r="C82" s="3" t="s">
        <v>247</v>
      </c>
      <c r="D82" s="3" t="s">
        <v>265</v>
      </c>
      <c r="E82" s="3" t="s">
        <v>266</v>
      </c>
      <c r="F82" s="3" t="s">
        <v>267</v>
      </c>
      <c r="G82" s="22" t="s">
        <v>268</v>
      </c>
      <c r="H82" s="3" t="s">
        <v>5</v>
      </c>
    </row>
    <row r="83" spans="1:8" ht="57" customHeight="1">
      <c r="A83" s="3">
        <v>75</v>
      </c>
      <c r="B83" s="26"/>
      <c r="C83" s="3" t="s">
        <v>247</v>
      </c>
      <c r="D83" s="3" t="s">
        <v>269</v>
      </c>
      <c r="E83" s="3" t="s">
        <v>270</v>
      </c>
      <c r="F83" s="3" t="s">
        <v>271</v>
      </c>
      <c r="G83" s="22" t="s">
        <v>272</v>
      </c>
      <c r="H83" s="3" t="s">
        <v>5</v>
      </c>
    </row>
    <row r="84" spans="1:8" ht="28.5" customHeight="1">
      <c r="A84" s="3">
        <v>76</v>
      </c>
      <c r="B84" s="26"/>
      <c r="C84" s="3" t="s">
        <v>247</v>
      </c>
      <c r="D84" s="3" t="s">
        <v>273</v>
      </c>
      <c r="E84" s="22" t="s">
        <v>274</v>
      </c>
      <c r="F84" s="3" t="s">
        <v>275</v>
      </c>
      <c r="G84" s="22" t="s">
        <v>276</v>
      </c>
      <c r="H84" s="3" t="s">
        <v>5</v>
      </c>
    </row>
    <row r="85" spans="1:8">
      <c r="A85" s="3">
        <v>77</v>
      </c>
      <c r="B85" s="26"/>
      <c r="C85" s="3" t="s">
        <v>247</v>
      </c>
      <c r="D85" s="3" t="s">
        <v>277</v>
      </c>
      <c r="E85" s="3" t="s">
        <v>278</v>
      </c>
      <c r="F85" s="3" t="s">
        <v>279</v>
      </c>
      <c r="G85" s="3" t="s">
        <v>280</v>
      </c>
      <c r="H85" s="3" t="s">
        <v>5</v>
      </c>
    </row>
    <row r="86" spans="1:8" ht="28.5" customHeight="1">
      <c r="A86" s="3">
        <v>78</v>
      </c>
      <c r="B86" s="26"/>
      <c r="C86" s="3" t="s">
        <v>247</v>
      </c>
      <c r="D86" s="3" t="s">
        <v>281</v>
      </c>
      <c r="F86" s="3" t="s">
        <v>282</v>
      </c>
      <c r="G86" s="22" t="s">
        <v>283</v>
      </c>
      <c r="H86" s="3" t="s">
        <v>5</v>
      </c>
    </row>
    <row r="87" spans="1:8" ht="42.75" customHeight="1">
      <c r="A87" s="3">
        <v>79</v>
      </c>
      <c r="B87" s="26"/>
      <c r="C87" s="3" t="s">
        <v>247</v>
      </c>
      <c r="D87" s="3" t="s">
        <v>284</v>
      </c>
      <c r="E87" s="3" t="s">
        <v>285</v>
      </c>
      <c r="F87" s="3" t="s">
        <v>286</v>
      </c>
      <c r="G87" s="22" t="s">
        <v>287</v>
      </c>
      <c r="H87" s="3" t="s">
        <v>5</v>
      </c>
    </row>
    <row r="88" spans="1:8" ht="42.75" customHeight="1">
      <c r="A88" s="3">
        <v>80</v>
      </c>
      <c r="B88" s="26"/>
      <c r="C88" s="3" t="s">
        <v>247</v>
      </c>
      <c r="D88" s="3" t="s">
        <v>288</v>
      </c>
      <c r="E88" s="3" t="s">
        <v>289</v>
      </c>
      <c r="F88" s="3" t="s">
        <v>290</v>
      </c>
      <c r="G88" s="22" t="s">
        <v>291</v>
      </c>
      <c r="H88" s="3" t="s">
        <v>5</v>
      </c>
    </row>
    <row r="89" spans="1:8" ht="42.75" customHeight="1">
      <c r="A89" s="3">
        <v>81</v>
      </c>
      <c r="B89" s="26"/>
      <c r="C89" s="3" t="s">
        <v>247</v>
      </c>
      <c r="D89" s="3" t="s">
        <v>292</v>
      </c>
      <c r="E89" s="3" t="s">
        <v>293</v>
      </c>
      <c r="F89" s="3" t="s">
        <v>294</v>
      </c>
      <c r="G89" s="22" t="s">
        <v>295</v>
      </c>
      <c r="H89" s="3" t="s">
        <v>5</v>
      </c>
    </row>
    <row r="90" spans="1:8" ht="42.75" customHeight="1">
      <c r="A90" s="3">
        <v>82</v>
      </c>
      <c r="B90" s="26"/>
      <c r="C90" s="3" t="s">
        <v>247</v>
      </c>
      <c r="D90" s="3" t="s">
        <v>296</v>
      </c>
      <c r="E90" s="3" t="s">
        <v>297</v>
      </c>
      <c r="F90" s="3" t="s">
        <v>298</v>
      </c>
      <c r="G90" s="22" t="s">
        <v>299</v>
      </c>
      <c r="H90" s="3" t="s">
        <v>5</v>
      </c>
    </row>
    <row r="91" spans="1:8" ht="42.75" customHeight="1">
      <c r="A91" s="3">
        <v>83</v>
      </c>
      <c r="B91" s="26"/>
      <c r="C91" s="3" t="s">
        <v>247</v>
      </c>
      <c r="D91" s="3" t="s">
        <v>300</v>
      </c>
      <c r="E91" s="22" t="s">
        <v>301</v>
      </c>
      <c r="F91" s="22" t="s">
        <v>302</v>
      </c>
      <c r="G91" s="22" t="s">
        <v>303</v>
      </c>
      <c r="H91" s="3" t="s">
        <v>5</v>
      </c>
    </row>
    <row r="92" spans="1:8" ht="28.5" customHeight="1">
      <c r="A92" s="3">
        <v>84</v>
      </c>
      <c r="B92" s="26"/>
      <c r="C92" s="3" t="s">
        <v>247</v>
      </c>
      <c r="D92" s="3" t="s">
        <v>304</v>
      </c>
      <c r="E92" s="3" t="s">
        <v>305</v>
      </c>
      <c r="F92" s="3" t="s">
        <v>306</v>
      </c>
      <c r="G92" s="22" t="s">
        <v>307</v>
      </c>
      <c r="H92" s="3" t="s">
        <v>5</v>
      </c>
    </row>
    <row r="93" spans="1:8" ht="42.75" customHeight="1">
      <c r="A93" s="3">
        <v>85</v>
      </c>
      <c r="B93" s="26"/>
      <c r="C93" s="3" t="s">
        <v>247</v>
      </c>
      <c r="D93" s="3" t="s">
        <v>308</v>
      </c>
      <c r="E93" s="3" t="s">
        <v>309</v>
      </c>
      <c r="F93" s="3" t="s">
        <v>310</v>
      </c>
      <c r="G93" s="22" t="s">
        <v>311</v>
      </c>
      <c r="H93" s="3" t="s">
        <v>5</v>
      </c>
    </row>
    <row r="94" spans="1:8" ht="71.25" customHeight="1">
      <c r="A94" s="3">
        <v>86</v>
      </c>
      <c r="B94" s="26"/>
      <c r="C94" s="3" t="s">
        <v>247</v>
      </c>
      <c r="D94" s="3" t="s">
        <v>312</v>
      </c>
      <c r="E94" s="3" t="s">
        <v>313</v>
      </c>
      <c r="F94" s="3" t="s">
        <v>314</v>
      </c>
      <c r="G94" s="22" t="s">
        <v>315</v>
      </c>
      <c r="H94" s="3" t="s">
        <v>5</v>
      </c>
    </row>
    <row r="95" spans="1:8" ht="28.5" customHeight="1">
      <c r="A95" s="3">
        <v>87</v>
      </c>
      <c r="B95" s="26"/>
      <c r="C95" s="3" t="s">
        <v>247</v>
      </c>
      <c r="D95" s="3" t="s">
        <v>316</v>
      </c>
      <c r="E95" s="3" t="s">
        <v>317</v>
      </c>
      <c r="F95" s="22" t="s">
        <v>318</v>
      </c>
      <c r="G95" s="3" t="s">
        <v>319</v>
      </c>
      <c r="H95" s="3" t="s">
        <v>5</v>
      </c>
    </row>
    <row r="96" spans="1:8" ht="28.5" customHeight="1">
      <c r="A96" s="3">
        <v>88</v>
      </c>
      <c r="B96" s="26"/>
      <c r="C96" s="3" t="s">
        <v>247</v>
      </c>
      <c r="D96" s="3" t="s">
        <v>320</v>
      </c>
      <c r="E96" s="3" t="s">
        <v>321</v>
      </c>
      <c r="F96" s="22" t="s">
        <v>322</v>
      </c>
      <c r="G96" s="3" t="s">
        <v>323</v>
      </c>
      <c r="H96" s="3" t="s">
        <v>5</v>
      </c>
    </row>
    <row r="97" spans="1:8">
      <c r="A97" s="3">
        <v>89</v>
      </c>
      <c r="B97" s="26"/>
      <c r="C97" s="3" t="s">
        <v>247</v>
      </c>
      <c r="D97" s="3" t="s">
        <v>324</v>
      </c>
      <c r="E97" s="3" t="s">
        <v>325</v>
      </c>
      <c r="G97" s="3" t="s">
        <v>326</v>
      </c>
      <c r="H97" s="3" t="s">
        <v>5</v>
      </c>
    </row>
    <row r="98" spans="1:8" ht="42.75" customHeight="1">
      <c r="A98" s="3">
        <v>90</v>
      </c>
      <c r="B98" s="26"/>
      <c r="C98" s="3" t="s">
        <v>247</v>
      </c>
      <c r="D98" s="3" t="s">
        <v>327</v>
      </c>
      <c r="E98" s="3" t="s">
        <v>328</v>
      </c>
      <c r="F98" s="3" t="s">
        <v>329</v>
      </c>
      <c r="G98" s="22" t="s">
        <v>330</v>
      </c>
      <c r="H98" s="3" t="s">
        <v>5</v>
      </c>
    </row>
    <row r="99" spans="1:8">
      <c r="A99" s="3">
        <v>91</v>
      </c>
      <c r="B99" s="26"/>
      <c r="C99" s="3" t="s">
        <v>247</v>
      </c>
      <c r="D99" s="3" t="s">
        <v>331</v>
      </c>
      <c r="E99" s="3" t="s">
        <v>332</v>
      </c>
      <c r="F99" s="3" t="s">
        <v>333</v>
      </c>
      <c r="G99" s="3" t="s">
        <v>334</v>
      </c>
      <c r="H99" s="3" t="s">
        <v>5</v>
      </c>
    </row>
    <row r="100" spans="1:8">
      <c r="A100" s="3">
        <v>92</v>
      </c>
      <c r="B100" s="26"/>
      <c r="C100" s="3" t="s">
        <v>247</v>
      </c>
      <c r="D100" s="3" t="s">
        <v>335</v>
      </c>
      <c r="E100" s="3" t="s">
        <v>336</v>
      </c>
      <c r="F100" s="3" t="s">
        <v>337</v>
      </c>
      <c r="G100" s="3" t="s">
        <v>338</v>
      </c>
      <c r="H100" s="3" t="s">
        <v>5</v>
      </c>
    </row>
    <row r="101" spans="1:8" ht="28.5" customHeight="1">
      <c r="A101" s="3">
        <v>93</v>
      </c>
      <c r="B101" s="26"/>
      <c r="C101" s="3" t="s">
        <v>247</v>
      </c>
      <c r="D101" s="3" t="s">
        <v>339</v>
      </c>
      <c r="E101" s="3" t="s">
        <v>340</v>
      </c>
      <c r="F101" s="22" t="s">
        <v>341</v>
      </c>
      <c r="G101" s="3" t="s">
        <v>342</v>
      </c>
      <c r="H101" s="3" t="s">
        <v>5</v>
      </c>
    </row>
    <row r="102" spans="1:8">
      <c r="A102" s="3">
        <v>94</v>
      </c>
      <c r="B102" s="26"/>
      <c r="C102" s="3" t="s">
        <v>247</v>
      </c>
      <c r="D102" s="3" t="s">
        <v>343</v>
      </c>
      <c r="E102" s="3" t="s">
        <v>344</v>
      </c>
      <c r="F102" s="3" t="s">
        <v>345</v>
      </c>
      <c r="G102" s="3" t="s">
        <v>346</v>
      </c>
      <c r="H102" s="3" t="s">
        <v>5</v>
      </c>
    </row>
    <row r="103" spans="1:8" ht="57" customHeight="1">
      <c r="A103" s="3">
        <v>95</v>
      </c>
      <c r="B103" s="26"/>
      <c r="C103" s="3" t="s">
        <v>247</v>
      </c>
      <c r="D103" s="3" t="s">
        <v>347</v>
      </c>
      <c r="E103" s="3" t="s">
        <v>348</v>
      </c>
      <c r="G103" s="22" t="s">
        <v>349</v>
      </c>
      <c r="H103" s="3" t="s">
        <v>5</v>
      </c>
    </row>
    <row r="104" spans="1:8">
      <c r="A104" s="3">
        <v>96</v>
      </c>
      <c r="B104" s="26"/>
      <c r="C104" s="3" t="s">
        <v>247</v>
      </c>
      <c r="D104" s="3" t="s">
        <v>350</v>
      </c>
      <c r="E104" s="3" t="s">
        <v>337</v>
      </c>
      <c r="F104" s="3" t="s">
        <v>351</v>
      </c>
      <c r="G104" s="3" t="s">
        <v>352</v>
      </c>
      <c r="H104" s="3" t="s">
        <v>5</v>
      </c>
    </row>
    <row r="105" spans="1:8">
      <c r="A105" s="3">
        <v>97</v>
      </c>
      <c r="B105" s="26"/>
      <c r="C105" s="3" t="s">
        <v>247</v>
      </c>
      <c r="D105" s="3" t="s">
        <v>353</v>
      </c>
      <c r="E105" s="3" t="s">
        <v>354</v>
      </c>
      <c r="F105" s="3" t="s">
        <v>355</v>
      </c>
      <c r="G105" s="3" t="s">
        <v>356</v>
      </c>
      <c r="H105" s="3" t="s">
        <v>5</v>
      </c>
    </row>
    <row r="106" spans="1:8" ht="42.75" customHeight="1">
      <c r="A106" s="3">
        <v>98</v>
      </c>
      <c r="B106" s="26"/>
      <c r="C106" s="3" t="s">
        <v>247</v>
      </c>
      <c r="D106" s="3" t="s">
        <v>357</v>
      </c>
      <c r="E106" s="22" t="s">
        <v>358</v>
      </c>
      <c r="F106" s="3" t="s">
        <v>359</v>
      </c>
      <c r="G106" s="22" t="s">
        <v>360</v>
      </c>
      <c r="H106" s="3" t="s">
        <v>5</v>
      </c>
    </row>
    <row r="107" spans="1:8" ht="28.5" customHeight="1">
      <c r="A107" s="3">
        <v>99</v>
      </c>
      <c r="B107" s="26"/>
      <c r="C107" s="3" t="s">
        <v>247</v>
      </c>
      <c r="D107" s="3" t="s">
        <v>357</v>
      </c>
      <c r="E107" s="22" t="s">
        <v>361</v>
      </c>
      <c r="F107" s="3" t="s">
        <v>359</v>
      </c>
      <c r="G107" s="3" t="s">
        <v>362</v>
      </c>
      <c r="H107" s="3" t="s">
        <v>5</v>
      </c>
    </row>
    <row r="108" spans="1:8">
      <c r="A108" s="3">
        <v>100</v>
      </c>
      <c r="B108" s="26"/>
      <c r="C108" s="25" t="s">
        <v>363</v>
      </c>
      <c r="D108" s="3" t="s">
        <v>364</v>
      </c>
      <c r="E108" s="3" t="s">
        <v>365</v>
      </c>
      <c r="F108" s="3" t="s">
        <v>366</v>
      </c>
      <c r="G108" s="3" t="s">
        <v>367</v>
      </c>
      <c r="H108" s="3" t="s">
        <v>5</v>
      </c>
    </row>
    <row r="109" spans="1:8">
      <c r="A109" s="3">
        <v>101</v>
      </c>
      <c r="B109" s="26"/>
      <c r="C109" s="26"/>
      <c r="D109" s="3" t="s">
        <v>368</v>
      </c>
      <c r="E109" s="3" t="s">
        <v>365</v>
      </c>
      <c r="F109" s="3" t="s">
        <v>366</v>
      </c>
      <c r="G109" s="3" t="s">
        <v>367</v>
      </c>
      <c r="H109" s="3" t="s">
        <v>5</v>
      </c>
    </row>
    <row r="110" spans="1:8" ht="28.5" customHeight="1">
      <c r="A110" s="3">
        <v>102</v>
      </c>
      <c r="B110" s="26"/>
      <c r="C110" s="25" t="s">
        <v>369</v>
      </c>
      <c r="D110" s="3" t="s">
        <v>370</v>
      </c>
      <c r="F110" s="3" t="s">
        <v>371</v>
      </c>
      <c r="G110" s="22" t="s">
        <v>372</v>
      </c>
      <c r="H110" s="3" t="s">
        <v>5</v>
      </c>
    </row>
    <row r="111" spans="1:8">
      <c r="A111" s="3">
        <v>103</v>
      </c>
      <c r="B111" s="26"/>
      <c r="C111" s="26"/>
      <c r="D111" s="3" t="s">
        <v>373</v>
      </c>
      <c r="F111" s="3" t="s">
        <v>374</v>
      </c>
      <c r="G111" s="3" t="s">
        <v>375</v>
      </c>
      <c r="H111" s="3" t="s">
        <v>5</v>
      </c>
    </row>
    <row r="112" spans="1:8" ht="28.5" customHeight="1">
      <c r="A112" s="3">
        <v>104</v>
      </c>
      <c r="B112" s="26"/>
      <c r="C112" s="25" t="s">
        <v>376</v>
      </c>
      <c r="D112" s="3" t="s">
        <v>377</v>
      </c>
      <c r="E112" s="3" t="s">
        <v>378</v>
      </c>
      <c r="F112" s="22" t="s">
        <v>379</v>
      </c>
      <c r="G112" s="3" t="s">
        <v>380</v>
      </c>
      <c r="H112" s="3" t="s">
        <v>5</v>
      </c>
    </row>
    <row r="113" spans="1:9">
      <c r="A113" s="3">
        <v>105</v>
      </c>
      <c r="B113" s="26"/>
      <c r="C113" s="26"/>
      <c r="D113" s="3" t="s">
        <v>381</v>
      </c>
      <c r="F113" s="3" t="s">
        <v>382</v>
      </c>
      <c r="G113" s="3" t="s">
        <v>383</v>
      </c>
      <c r="H113" s="3" t="s">
        <v>5</v>
      </c>
    </row>
    <row r="114" spans="1:9">
      <c r="A114" s="3">
        <v>106</v>
      </c>
      <c r="B114" s="26"/>
      <c r="C114" s="26"/>
      <c r="D114" s="3" t="s">
        <v>384</v>
      </c>
      <c r="F114" s="3" t="s">
        <v>385</v>
      </c>
      <c r="G114" s="3" t="s">
        <v>386</v>
      </c>
      <c r="H114" s="3" t="s">
        <v>5</v>
      </c>
    </row>
    <row r="115" spans="1:9" ht="28.5" customHeight="1">
      <c r="A115" s="3">
        <v>107</v>
      </c>
      <c r="B115" s="26"/>
      <c r="C115" s="25" t="s">
        <v>387</v>
      </c>
      <c r="D115" s="25" t="s">
        <v>388</v>
      </c>
      <c r="E115" s="3" t="s">
        <v>389</v>
      </c>
      <c r="F115" s="22" t="s">
        <v>379</v>
      </c>
      <c r="G115" s="3" t="s">
        <v>390</v>
      </c>
      <c r="H115" s="3" t="s">
        <v>5</v>
      </c>
    </row>
    <row r="116" spans="1:9">
      <c r="A116" s="3">
        <v>108</v>
      </c>
      <c r="B116" s="26"/>
      <c r="C116" s="26"/>
      <c r="D116" s="26"/>
      <c r="E116" s="3" t="s">
        <v>391</v>
      </c>
      <c r="F116" s="3" t="s">
        <v>392</v>
      </c>
      <c r="G116" s="3" t="s">
        <v>393</v>
      </c>
      <c r="H116" s="3" t="s">
        <v>5</v>
      </c>
    </row>
    <row r="117" spans="1:9" ht="28.5" customHeight="1">
      <c r="A117" s="3">
        <v>109</v>
      </c>
      <c r="B117" s="26"/>
      <c r="C117" s="26"/>
      <c r="D117" s="25" t="s">
        <v>394</v>
      </c>
      <c r="E117" s="3" t="s">
        <v>389</v>
      </c>
      <c r="F117" s="22" t="s">
        <v>379</v>
      </c>
      <c r="G117" s="3" t="s">
        <v>395</v>
      </c>
      <c r="H117" s="3" t="s">
        <v>5</v>
      </c>
    </row>
    <row r="118" spans="1:9">
      <c r="A118" s="3">
        <v>110</v>
      </c>
      <c r="B118" s="26"/>
      <c r="C118" s="26"/>
      <c r="D118" s="26"/>
      <c r="E118" s="3" t="s">
        <v>396</v>
      </c>
      <c r="F118" s="3" t="s">
        <v>392</v>
      </c>
      <c r="G118" s="3" t="s">
        <v>393</v>
      </c>
      <c r="H118" s="3" t="s">
        <v>5</v>
      </c>
    </row>
    <row r="119" spans="1:9">
      <c r="A119" s="3">
        <v>111</v>
      </c>
      <c r="B119" s="26"/>
      <c r="C119" s="26"/>
      <c r="D119" s="26"/>
      <c r="E119" s="3" t="s">
        <v>396</v>
      </c>
      <c r="F119" s="3" t="s">
        <v>397</v>
      </c>
      <c r="G119" s="3" t="s">
        <v>393</v>
      </c>
      <c r="H119" s="3" t="s">
        <v>5</v>
      </c>
    </row>
    <row r="120" spans="1:9" ht="48">
      <c r="A120" s="23">
        <v>112</v>
      </c>
      <c r="B120" s="23" t="s">
        <v>398</v>
      </c>
      <c r="C120" s="23" t="s">
        <v>376</v>
      </c>
      <c r="D120" s="23" t="s">
        <v>399</v>
      </c>
      <c r="E120" s="24" t="s">
        <v>400</v>
      </c>
      <c r="F120" s="24" t="s">
        <v>401</v>
      </c>
      <c r="G120" s="24" t="s">
        <v>402</v>
      </c>
      <c r="H120" s="23"/>
      <c r="I120" s="23" t="s">
        <v>403</v>
      </c>
    </row>
    <row r="121" spans="1:9" ht="64">
      <c r="A121" s="23">
        <v>113</v>
      </c>
      <c r="B121" s="23" t="s">
        <v>228</v>
      </c>
      <c r="C121" s="23" t="s">
        <v>376</v>
      </c>
      <c r="D121" s="23" t="s">
        <v>404</v>
      </c>
      <c r="E121" s="24" t="s">
        <v>405</v>
      </c>
      <c r="F121" s="24" t="s">
        <v>406</v>
      </c>
      <c r="G121" s="24" t="s">
        <v>407</v>
      </c>
      <c r="H121" s="23"/>
      <c r="I121" s="23" t="s">
        <v>408</v>
      </c>
    </row>
    <row r="122" spans="1:9" ht="32">
      <c r="A122" s="23">
        <v>114</v>
      </c>
      <c r="B122" s="23" t="s">
        <v>228</v>
      </c>
      <c r="C122" s="23" t="s">
        <v>376</v>
      </c>
      <c r="D122" s="23" t="s">
        <v>409</v>
      </c>
      <c r="E122" s="24" t="s">
        <v>410</v>
      </c>
      <c r="F122" s="24" t="s">
        <v>411</v>
      </c>
      <c r="G122" s="24" t="s">
        <v>412</v>
      </c>
      <c r="H122" s="23"/>
      <c r="I122" s="23" t="s">
        <v>403</v>
      </c>
    </row>
    <row r="123" spans="1:9" ht="48">
      <c r="A123" s="23">
        <v>115</v>
      </c>
      <c r="B123" s="23" t="s">
        <v>398</v>
      </c>
      <c r="C123" s="23" t="s">
        <v>376</v>
      </c>
      <c r="D123" s="23" t="s">
        <v>413</v>
      </c>
      <c r="E123" s="24" t="s">
        <v>414</v>
      </c>
      <c r="F123" s="24" t="s">
        <v>415</v>
      </c>
      <c r="G123" s="24" t="s">
        <v>416</v>
      </c>
      <c r="H123" s="23"/>
      <c r="I123" s="23" t="s">
        <v>403</v>
      </c>
    </row>
    <row r="124" spans="1:9" ht="64">
      <c r="A124" s="23">
        <v>116</v>
      </c>
      <c r="B124" s="23" t="s">
        <v>398</v>
      </c>
      <c r="C124" s="23" t="s">
        <v>376</v>
      </c>
      <c r="D124" s="23" t="s">
        <v>417</v>
      </c>
      <c r="E124" s="24" t="s">
        <v>418</v>
      </c>
      <c r="F124" s="24" t="s">
        <v>401</v>
      </c>
      <c r="G124" s="24" t="s">
        <v>419</v>
      </c>
      <c r="H124" s="23"/>
      <c r="I124" s="23" t="s">
        <v>420</v>
      </c>
    </row>
    <row r="125" spans="1:9" ht="80">
      <c r="A125" s="23">
        <v>117</v>
      </c>
      <c r="B125" s="23" t="s">
        <v>228</v>
      </c>
      <c r="C125" s="23" t="s">
        <v>376</v>
      </c>
      <c r="D125" s="23" t="s">
        <v>421</v>
      </c>
      <c r="E125" s="24" t="s">
        <v>422</v>
      </c>
      <c r="F125" s="24" t="s">
        <v>423</v>
      </c>
      <c r="G125" s="24" t="s">
        <v>424</v>
      </c>
      <c r="H125" s="23"/>
      <c r="I125" s="23" t="s">
        <v>408</v>
      </c>
    </row>
    <row r="126" spans="1:9" ht="48">
      <c r="A126" s="23">
        <v>118</v>
      </c>
      <c r="B126" s="23" t="s">
        <v>228</v>
      </c>
      <c r="C126" s="23" t="s">
        <v>376</v>
      </c>
      <c r="D126" s="23" t="s">
        <v>425</v>
      </c>
      <c r="E126" s="24" t="s">
        <v>426</v>
      </c>
      <c r="F126" s="24" t="s">
        <v>411</v>
      </c>
      <c r="G126" s="24" t="s">
        <v>427</v>
      </c>
      <c r="H126" s="23"/>
      <c r="I126" s="23" t="s">
        <v>420</v>
      </c>
    </row>
    <row r="127" spans="1:9" ht="48">
      <c r="A127" s="23">
        <v>119</v>
      </c>
      <c r="B127" s="23" t="s">
        <v>398</v>
      </c>
      <c r="C127" s="23" t="s">
        <v>376</v>
      </c>
      <c r="D127" s="23" t="s">
        <v>428</v>
      </c>
      <c r="E127" s="24" t="s">
        <v>429</v>
      </c>
      <c r="F127" s="24" t="s">
        <v>415</v>
      </c>
      <c r="G127" s="24" t="s">
        <v>430</v>
      </c>
      <c r="H127" s="23"/>
      <c r="I127" s="23" t="s">
        <v>420</v>
      </c>
    </row>
    <row r="128" spans="1:9" ht="48">
      <c r="A128" s="23">
        <v>120</v>
      </c>
      <c r="B128" s="23" t="s">
        <v>398</v>
      </c>
      <c r="C128" s="23" t="s">
        <v>376</v>
      </c>
      <c r="D128" s="23" t="s">
        <v>431</v>
      </c>
      <c r="E128" s="24" t="s">
        <v>432</v>
      </c>
      <c r="F128" s="24" t="s">
        <v>433</v>
      </c>
      <c r="G128" s="24" t="s">
        <v>434</v>
      </c>
      <c r="H128" s="23"/>
      <c r="I128" s="23" t="s">
        <v>435</v>
      </c>
    </row>
    <row r="129" spans="1:9" ht="48">
      <c r="A129" s="23">
        <v>121</v>
      </c>
      <c r="B129" s="23" t="s">
        <v>398</v>
      </c>
      <c r="C129" s="23" t="s">
        <v>376</v>
      </c>
      <c r="D129" s="23" t="s">
        <v>436</v>
      </c>
      <c r="E129" s="24" t="s">
        <v>437</v>
      </c>
      <c r="F129" s="24" t="s">
        <v>438</v>
      </c>
      <c r="G129" s="24" t="s">
        <v>439</v>
      </c>
      <c r="H129" s="23"/>
      <c r="I129" s="23" t="s">
        <v>435</v>
      </c>
    </row>
    <row r="130" spans="1:9" ht="48">
      <c r="A130" s="23">
        <v>122</v>
      </c>
      <c r="B130" s="23" t="s">
        <v>398</v>
      </c>
      <c r="C130" s="23" t="s">
        <v>376</v>
      </c>
      <c r="D130" s="23" t="s">
        <v>440</v>
      </c>
      <c r="E130" s="24" t="s">
        <v>441</v>
      </c>
      <c r="F130" s="24" t="s">
        <v>401</v>
      </c>
      <c r="G130" s="24" t="s">
        <v>442</v>
      </c>
      <c r="H130" s="23"/>
      <c r="I130" s="23" t="s">
        <v>403</v>
      </c>
    </row>
    <row r="131" spans="1:9" ht="64">
      <c r="A131" s="23">
        <v>123</v>
      </c>
      <c r="B131" s="23" t="s">
        <v>228</v>
      </c>
      <c r="C131" s="23" t="s">
        <v>376</v>
      </c>
      <c r="D131" s="23" t="s">
        <v>443</v>
      </c>
      <c r="E131" s="24" t="s">
        <v>444</v>
      </c>
      <c r="F131" s="24" t="s">
        <v>445</v>
      </c>
      <c r="G131" s="24" t="s">
        <v>446</v>
      </c>
      <c r="H131" s="23"/>
      <c r="I131" s="23" t="s">
        <v>408</v>
      </c>
    </row>
    <row r="132" spans="1:9" ht="48">
      <c r="A132" s="23">
        <v>124</v>
      </c>
      <c r="B132" s="23" t="s">
        <v>228</v>
      </c>
      <c r="C132" s="23" t="s">
        <v>376</v>
      </c>
      <c r="D132" s="23" t="s">
        <v>447</v>
      </c>
      <c r="E132" s="24" t="s">
        <v>448</v>
      </c>
      <c r="F132" s="24" t="s">
        <v>411</v>
      </c>
      <c r="G132" s="24" t="s">
        <v>449</v>
      </c>
      <c r="H132" s="23"/>
      <c r="I132" s="23" t="s">
        <v>403</v>
      </c>
    </row>
    <row r="133" spans="1:9" ht="48">
      <c r="A133" s="23">
        <v>125</v>
      </c>
      <c r="B133" s="23" t="s">
        <v>398</v>
      </c>
      <c r="C133" s="23" t="s">
        <v>376</v>
      </c>
      <c r="D133" s="23" t="s">
        <v>450</v>
      </c>
      <c r="E133" s="24" t="s">
        <v>451</v>
      </c>
      <c r="F133" s="24" t="s">
        <v>452</v>
      </c>
      <c r="G133" s="24" t="s">
        <v>453</v>
      </c>
      <c r="H133" s="23"/>
      <c r="I133" s="23" t="s">
        <v>403</v>
      </c>
    </row>
    <row r="134" spans="1:9" ht="64">
      <c r="A134" s="23">
        <v>126</v>
      </c>
      <c r="B134" s="23" t="s">
        <v>398</v>
      </c>
      <c r="C134" s="23" t="s">
        <v>376</v>
      </c>
      <c r="D134" s="23" t="s">
        <v>454</v>
      </c>
      <c r="E134" s="24" t="s">
        <v>455</v>
      </c>
      <c r="F134" s="24" t="s">
        <v>451</v>
      </c>
      <c r="G134" s="24" t="s">
        <v>456</v>
      </c>
      <c r="H134" s="23"/>
      <c r="I134" s="23" t="s">
        <v>457</v>
      </c>
    </row>
    <row r="135" spans="1:9" ht="48">
      <c r="A135" s="23">
        <v>127</v>
      </c>
      <c r="B135" s="23" t="s">
        <v>398</v>
      </c>
      <c r="C135" s="23" t="s">
        <v>376</v>
      </c>
      <c r="D135" s="23" t="s">
        <v>458</v>
      </c>
      <c r="E135" s="24" t="s">
        <v>459</v>
      </c>
      <c r="F135" s="24" t="s">
        <v>460</v>
      </c>
      <c r="G135" s="24" t="s">
        <v>461</v>
      </c>
      <c r="H135" s="23"/>
      <c r="I135" s="23" t="s">
        <v>435</v>
      </c>
    </row>
    <row r="136" spans="1:9" ht="48">
      <c r="A136" s="23">
        <v>128</v>
      </c>
      <c r="B136" s="23" t="s">
        <v>398</v>
      </c>
      <c r="C136" s="23" t="s">
        <v>376</v>
      </c>
      <c r="D136" s="23" t="s">
        <v>462</v>
      </c>
      <c r="E136" s="24" t="s">
        <v>463</v>
      </c>
      <c r="F136" s="24" t="s">
        <v>464</v>
      </c>
      <c r="G136" s="24" t="s">
        <v>465</v>
      </c>
      <c r="H136" s="23"/>
      <c r="I136" s="23" t="s">
        <v>466</v>
      </c>
    </row>
    <row r="137" spans="1:9" ht="48">
      <c r="A137" s="23">
        <v>129</v>
      </c>
      <c r="B137" s="23" t="s">
        <v>398</v>
      </c>
      <c r="C137" s="23" t="s">
        <v>376</v>
      </c>
      <c r="D137" s="23" t="s">
        <v>467</v>
      </c>
      <c r="E137" s="24" t="s">
        <v>468</v>
      </c>
      <c r="F137" s="24" t="s">
        <v>469</v>
      </c>
      <c r="G137" s="24" t="s">
        <v>470</v>
      </c>
      <c r="H137" s="23"/>
      <c r="I137" s="23" t="s">
        <v>435</v>
      </c>
    </row>
    <row r="138" spans="1:9" ht="48">
      <c r="A138" s="23">
        <v>130</v>
      </c>
      <c r="B138" s="23" t="s">
        <v>398</v>
      </c>
      <c r="C138" s="23" t="s">
        <v>376</v>
      </c>
      <c r="D138" s="23" t="s">
        <v>471</v>
      </c>
      <c r="E138" s="24" t="s">
        <v>472</v>
      </c>
      <c r="F138" s="24" t="s">
        <v>473</v>
      </c>
      <c r="G138" s="24" t="s">
        <v>474</v>
      </c>
      <c r="H138" s="23"/>
      <c r="I138" s="23" t="s">
        <v>466</v>
      </c>
    </row>
    <row r="139" spans="1:9" ht="48">
      <c r="A139" s="23">
        <v>131</v>
      </c>
      <c r="B139" s="23" t="s">
        <v>398</v>
      </c>
      <c r="C139" s="23" t="s">
        <v>376</v>
      </c>
      <c r="D139" s="23" t="s">
        <v>475</v>
      </c>
      <c r="E139" s="24" t="s">
        <v>476</v>
      </c>
      <c r="F139" s="24" t="s">
        <v>433</v>
      </c>
      <c r="G139" s="24" t="s">
        <v>477</v>
      </c>
      <c r="H139" s="23"/>
      <c r="I139" s="23" t="s">
        <v>466</v>
      </c>
    </row>
    <row r="140" spans="1:9" ht="48">
      <c r="A140" s="23">
        <v>132</v>
      </c>
      <c r="B140" s="23" t="s">
        <v>398</v>
      </c>
      <c r="C140" s="23" t="s">
        <v>376</v>
      </c>
      <c r="D140" s="23" t="s">
        <v>478</v>
      </c>
      <c r="E140" s="24" t="s">
        <v>479</v>
      </c>
      <c r="F140" s="24" t="s">
        <v>480</v>
      </c>
      <c r="G140" s="24" t="s">
        <v>481</v>
      </c>
      <c r="H140" s="23"/>
      <c r="I140" s="23" t="s">
        <v>482</v>
      </c>
    </row>
    <row r="141" spans="1:9" ht="48">
      <c r="A141" s="23">
        <v>133</v>
      </c>
      <c r="B141" s="23" t="s">
        <v>228</v>
      </c>
      <c r="C141" s="23" t="s">
        <v>376</v>
      </c>
      <c r="D141" s="23" t="s">
        <v>483</v>
      </c>
      <c r="E141" s="24" t="s">
        <v>484</v>
      </c>
      <c r="F141" s="24" t="s">
        <v>485</v>
      </c>
      <c r="G141" s="24" t="s">
        <v>486</v>
      </c>
      <c r="H141" s="23"/>
      <c r="I141" s="23" t="s">
        <v>482</v>
      </c>
    </row>
    <row r="142" spans="1:9" ht="48">
      <c r="A142" s="23">
        <v>134</v>
      </c>
      <c r="B142" s="23" t="s">
        <v>228</v>
      </c>
      <c r="C142" s="23" t="s">
        <v>376</v>
      </c>
      <c r="D142" s="23" t="s">
        <v>487</v>
      </c>
      <c r="E142" s="24" t="s">
        <v>488</v>
      </c>
      <c r="F142" s="24" t="s">
        <v>489</v>
      </c>
      <c r="G142" s="24" t="s">
        <v>490</v>
      </c>
      <c r="H142" s="23"/>
      <c r="I142" s="23" t="s">
        <v>482</v>
      </c>
    </row>
    <row r="143" spans="1:9" ht="48">
      <c r="A143" s="23">
        <v>135</v>
      </c>
      <c r="B143" s="23" t="s">
        <v>398</v>
      </c>
      <c r="C143" s="23" t="s">
        <v>376</v>
      </c>
      <c r="D143" s="23" t="s">
        <v>491</v>
      </c>
      <c r="E143" s="24" t="s">
        <v>492</v>
      </c>
      <c r="F143" s="24" t="s">
        <v>493</v>
      </c>
      <c r="G143" s="24" t="s">
        <v>494</v>
      </c>
      <c r="H143" s="23"/>
      <c r="I143" s="23" t="s">
        <v>482</v>
      </c>
    </row>
    <row r="144" spans="1:9" ht="48">
      <c r="A144" s="23">
        <v>136</v>
      </c>
      <c r="B144" s="23" t="s">
        <v>398</v>
      </c>
      <c r="C144" s="23" t="s">
        <v>376</v>
      </c>
      <c r="D144" s="23" t="s">
        <v>495</v>
      </c>
      <c r="E144" s="24" t="s">
        <v>496</v>
      </c>
      <c r="F144" s="24" t="s">
        <v>497</v>
      </c>
      <c r="G144" s="24" t="s">
        <v>498</v>
      </c>
      <c r="H144" s="23"/>
      <c r="I144" s="23" t="s">
        <v>482</v>
      </c>
    </row>
    <row r="145" spans="1:9" ht="48">
      <c r="A145" s="23">
        <v>137</v>
      </c>
      <c r="B145" s="23" t="s">
        <v>228</v>
      </c>
      <c r="C145" s="23" t="s">
        <v>376</v>
      </c>
      <c r="D145" s="23" t="s">
        <v>499</v>
      </c>
      <c r="E145" s="24" t="s">
        <v>500</v>
      </c>
      <c r="F145" s="24" t="s">
        <v>501</v>
      </c>
      <c r="G145" s="24" t="s">
        <v>502</v>
      </c>
      <c r="H145" s="23"/>
      <c r="I145" s="23" t="s">
        <v>503</v>
      </c>
    </row>
    <row r="146" spans="1:9" ht="48">
      <c r="A146" s="23">
        <v>138</v>
      </c>
      <c r="B146" s="23" t="s">
        <v>398</v>
      </c>
      <c r="C146" s="23" t="s">
        <v>376</v>
      </c>
      <c r="D146" s="23" t="s">
        <v>504</v>
      </c>
      <c r="E146" s="24" t="s">
        <v>505</v>
      </c>
      <c r="F146" s="24" t="s">
        <v>506</v>
      </c>
      <c r="G146" s="24" t="s">
        <v>507</v>
      </c>
      <c r="H146" s="23"/>
      <c r="I146" s="23" t="s">
        <v>503</v>
      </c>
    </row>
    <row r="147" spans="1:9" ht="48">
      <c r="A147" s="23">
        <v>139</v>
      </c>
      <c r="B147" s="23" t="s">
        <v>398</v>
      </c>
      <c r="C147" s="23" t="s">
        <v>376</v>
      </c>
      <c r="D147" s="23" t="s">
        <v>508</v>
      </c>
      <c r="E147" s="24" t="s">
        <v>509</v>
      </c>
      <c r="F147" s="24" t="s">
        <v>510</v>
      </c>
      <c r="G147" s="24" t="s">
        <v>511</v>
      </c>
      <c r="H147" s="23"/>
      <c r="I147" s="23" t="s">
        <v>512</v>
      </c>
    </row>
  </sheetData>
  <mergeCells count="11">
    <mergeCell ref="I18:I19"/>
    <mergeCell ref="B9:B71"/>
    <mergeCell ref="C108:C109"/>
    <mergeCell ref="C110:C111"/>
    <mergeCell ref="D117:D119"/>
    <mergeCell ref="A1:F1"/>
    <mergeCell ref="C112:C114"/>
    <mergeCell ref="B72:B119"/>
    <mergeCell ref="C6:F6"/>
    <mergeCell ref="D115:D116"/>
    <mergeCell ref="C115:C119"/>
  </mergeCells>
  <phoneticPr fontId="10" type="noConversion"/>
  <dataValidations count="1">
    <dataValidation type="list" allowBlank="1" showInputMessage="1" showErrorMessage="1" sqref="H8:H119" xr:uid="{00000000-0002-0000-0000-000000000000}">
      <formula1>$G$2:$G$4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锦标赛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lrwei91 .</cp:lastModifiedBy>
  <dcterms:created xsi:type="dcterms:W3CDTF">2026-02-27T09:13:00Z</dcterms:created>
  <dcterms:modified xsi:type="dcterms:W3CDTF">2026-04-10T10:56:02Z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EB66634DB0EE4A7EABDDC4A5DE445D75_12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