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免费旋转打码量逻辑调整" sheetId="2" r:id="rId1"/>
    <sheet name="功能位置" sheetId="8" r:id="rId2"/>
    <sheet name="需求迭代" sheetId="7"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<sst xmlns="http://schemas.openxmlformats.org/spreadsheetml/2006/main" count="129" uniqueCount="105">
  <si>
    <t>免费旋转打码量逻辑调整</t>
  </si>
  <si>
    <t>测试总数量</t>
  </si>
  <si>
    <t>测试平台</t>
  </si>
  <si>
    <t>测试日期</t>
  </si>
  <si>
    <t>Pass</t>
  </si>
  <si>
    <t>系统&amp;版本</t>
  </si>
  <si>
    <t>最后更新</t>
  </si>
  <si>
    <t>Fail</t>
  </si>
  <si>
    <t>文档编写人</t>
  </si>
  <si>
    <t>文档测试人</t>
  </si>
  <si>
    <t>N/A</t>
  </si>
  <si>
    <t>策划负责人</t>
  </si>
  <si>
    <t>审阅人员</t>
  </si>
  <si>
    <t>参考档</t>
  </si>
  <si>
    <t>序号</t>
  </si>
  <si>
    <t>平台</t>
  </si>
  <si>
    <t>模块</t>
  </si>
  <si>
    <t>功能点</t>
  </si>
  <si>
    <t>前置条件（测试点）</t>
  </si>
  <si>
    <t>操作步骤</t>
  </si>
  <si>
    <t>预期结果</t>
  </si>
  <si>
    <t>测试结果</t>
  </si>
  <si>
    <t>图片</t>
  </si>
  <si>
    <t>备注</t>
  </si>
  <si>
    <t>帐服/客户端</t>
  </si>
  <si>
    <t>首充二充三充</t>
  </si>
  <si>
    <t>免费旋转打码倍数调整</t>
  </si>
  <si>
    <t>首次充值赠送已配置奖励打码倍数</t>
  </si>
  <si>
    <r>
      <rPr>
        <sz val="12"/>
        <color rgb="FF000000"/>
        <rFont val="宋体"/>
        <charset val="134"/>
        <scheme val="minor"/>
      </rPr>
      <t>在大厅中注册并完成首次充值赠送获得免费旋转次数赠送
进入游戏中消耗免费旋转次数</t>
    </r>
    <r>
      <rPr>
        <sz val="12"/>
        <color rgb="FFFF0000"/>
        <rFont val="宋体"/>
        <charset val="134"/>
        <scheme val="minor"/>
      </rPr>
      <t>（需要获得奖励）</t>
    </r>
    <r>
      <rPr>
        <sz val="12"/>
        <color rgb="FF000000"/>
        <rFont val="宋体"/>
        <charset val="134"/>
        <scheme val="minor"/>
      </rPr>
      <t xml:space="preserve">
返回账服查看不可提现金额新增的打码任务倍数</t>
    </r>
  </si>
  <si>
    <t>奖励获取正常
新的打码任务打码倍数为配置的首充奖励打码倍数</t>
  </si>
  <si>
    <t>更新前已获取免费旋转次数</t>
  </si>
  <si>
    <r>
      <rPr>
        <sz val="12"/>
        <color rgb="FF000000"/>
        <rFont val="宋体"/>
        <charset val="134"/>
        <scheme val="minor"/>
      </rPr>
      <t>在大厅中登录账号完成首次充值赠送获得免费旋转次数赠送
进入游戏中将所有免费旋转次数消耗完</t>
    </r>
    <r>
      <rPr>
        <sz val="12"/>
        <color rgb="FFFF0000"/>
        <rFont val="宋体"/>
        <charset val="134"/>
        <scheme val="minor"/>
      </rPr>
      <t>（需要获得奖励）</t>
    </r>
    <r>
      <rPr>
        <sz val="12"/>
        <color rgb="FF000000"/>
        <rFont val="宋体"/>
        <charset val="134"/>
        <scheme val="minor"/>
      </rPr>
      <t xml:space="preserve">
返回账服查看不可提现金额新增的打码任务倍数</t>
    </r>
  </si>
  <si>
    <t>奖励获取正常
根据三方返回的游戏数据判断具体的活动类型
1、免费旋转活动打码量（更新前获得的次数）
2、首充活动中配置的奖励打码倍数（更新后）</t>
  </si>
  <si>
    <t>二次充值赠送已配置奖励打码倍数</t>
  </si>
  <si>
    <r>
      <rPr>
        <sz val="12"/>
        <color rgb="FF000000"/>
        <rFont val="宋体"/>
        <charset val="134"/>
        <scheme val="minor"/>
      </rPr>
      <t>在大厅中完成二次充值赠送获得免费旋转次数赠送
进入游戏中消耗免费旋转次数</t>
    </r>
    <r>
      <rPr>
        <sz val="12"/>
        <color rgb="FFFF0000"/>
        <rFont val="宋体"/>
        <charset val="134"/>
        <scheme val="minor"/>
      </rPr>
      <t>（需要获得奖励）</t>
    </r>
    <r>
      <rPr>
        <sz val="12"/>
        <color rgb="FF000000"/>
        <rFont val="宋体"/>
        <charset val="134"/>
        <scheme val="minor"/>
      </rPr>
      <t xml:space="preserve">
返回账服查看不可提现金额新增的打码任务倍数</t>
    </r>
  </si>
  <si>
    <t>奖励获取正常
新的打码任务打码倍数为配置的二充奖励打码倍数</t>
  </si>
  <si>
    <r>
      <rPr>
        <sz val="12"/>
        <color rgb="FF000000"/>
        <rFont val="宋体"/>
        <charset val="134"/>
        <scheme val="minor"/>
      </rPr>
      <t>在大厅中登录账号完成二次充值赠送获得免费旋转次数赠送
进入游戏中将所有免费旋转次数消耗完</t>
    </r>
    <r>
      <rPr>
        <sz val="12"/>
        <color rgb="FFFF0000"/>
        <rFont val="宋体"/>
        <charset val="134"/>
        <scheme val="minor"/>
      </rPr>
      <t>（需要获得奖励）</t>
    </r>
    <r>
      <rPr>
        <sz val="12"/>
        <color rgb="FF000000"/>
        <rFont val="宋体"/>
        <charset val="134"/>
        <scheme val="minor"/>
      </rPr>
      <t xml:space="preserve">
返回账服查看不可提现金额新增的打码任务倍数</t>
    </r>
  </si>
  <si>
    <t>三次充值赠送已配置奖励打码倍数</t>
  </si>
  <si>
    <r>
      <rPr>
        <sz val="12"/>
        <color rgb="FF000000"/>
        <rFont val="宋体"/>
        <charset val="134"/>
        <scheme val="minor"/>
      </rPr>
      <t>在大厅中完成三次充值赠送获得免费旋转次数赠送
进入游戏中消耗免费旋转次数</t>
    </r>
    <r>
      <rPr>
        <sz val="12"/>
        <color rgb="FFFF0000"/>
        <rFont val="宋体"/>
        <charset val="134"/>
        <scheme val="minor"/>
      </rPr>
      <t>（需要获得奖励）</t>
    </r>
    <r>
      <rPr>
        <sz val="12"/>
        <color rgb="FF000000"/>
        <rFont val="宋体"/>
        <charset val="134"/>
        <scheme val="minor"/>
      </rPr>
      <t xml:space="preserve">
返回账服查看不可提现金额新增的打码任务倍数</t>
    </r>
  </si>
  <si>
    <t>奖励获取正常
新的打码任务打码倍数为配置的三充奖励打码倍数</t>
  </si>
  <si>
    <r>
      <rPr>
        <sz val="12"/>
        <color rgb="FF000000"/>
        <rFont val="宋体"/>
        <charset val="134"/>
        <scheme val="minor"/>
      </rPr>
      <t>在大厅中登录账号完成三次充值赠送获得免费旋转次数赠送
进入游戏中将所有免费旋转次数消耗完</t>
    </r>
    <r>
      <rPr>
        <sz val="12"/>
        <color rgb="FFFF0000"/>
        <rFont val="宋体"/>
        <charset val="134"/>
        <scheme val="minor"/>
      </rPr>
      <t>（需要获得奖励）</t>
    </r>
    <r>
      <rPr>
        <sz val="12"/>
        <color rgb="FF000000"/>
        <rFont val="宋体"/>
        <charset val="134"/>
        <scheme val="minor"/>
      </rPr>
      <t xml:space="preserve">
返回账服查看不可提现金额新增的打码任务倍数</t>
    </r>
  </si>
  <si>
    <t>首充二充三充已配置奖励打码倍数</t>
  </si>
  <si>
    <r>
      <rPr>
        <sz val="12"/>
        <color rgb="FF000000"/>
        <rFont val="宋体"/>
        <charset val="134"/>
        <scheme val="minor"/>
      </rPr>
      <t>在大厅中注册并完成首次二次三次充值赠送获得免费旋转次数赠送
进入游戏中消耗完免费旋转次数</t>
    </r>
    <r>
      <rPr>
        <sz val="12"/>
        <color rgb="FFFF0000"/>
        <rFont val="宋体"/>
        <charset val="134"/>
        <scheme val="minor"/>
      </rPr>
      <t>（需要获得奖励）</t>
    </r>
    <r>
      <rPr>
        <sz val="12"/>
        <color rgb="FF000000"/>
        <rFont val="宋体"/>
        <charset val="134"/>
        <scheme val="minor"/>
      </rPr>
      <t xml:space="preserve">
返回账服查看不可提现金额新增的打码任务倍数</t>
    </r>
  </si>
  <si>
    <t>奖励获取正常
打码任务依照消耗的旋转次数获取倒序，按对应的奖励打码倍数配置，生成对应的打码任务（倍数与配置一致）</t>
  </si>
  <si>
    <t>新增提示语</t>
  </si>
  <si>
    <t>查看账服 运营活动-充值优惠-首充二充三充活动配置页面</t>
  </si>
  <si>
    <t>首充配置的免费旋转次数配置后方新增提示语：
首充二充三充活动所有免费旋转打码倍数取活动中配置的对应奖励打码倍数</t>
  </si>
  <si>
    <t>普通充值赠送</t>
  </si>
  <si>
    <t>查看账服 运营活动-充值优惠-普通充值活动活动配置页面</t>
  </si>
  <si>
    <t>页面中免费旋转次数配置后方新增提示语：
普通充值活动所有免费旋转打码倍数取活动中配置的对应奖励打码倍数</t>
  </si>
  <si>
    <t>普通充值赠送已配置奖励打码倍数</t>
  </si>
  <si>
    <r>
      <rPr>
        <sz val="12"/>
        <color rgb="FF000000"/>
        <rFont val="宋体"/>
        <charset val="134"/>
        <scheme val="minor"/>
      </rPr>
      <t>在大厅中完成普通充值活动赠送获得免费旋转次数赠送
进入游戏中消耗免费旋转次数</t>
    </r>
    <r>
      <rPr>
        <sz val="12"/>
        <color rgb="FFFF0000"/>
        <rFont val="宋体"/>
        <charset val="134"/>
        <scheme val="minor"/>
      </rPr>
      <t>（需要获得奖励）</t>
    </r>
    <r>
      <rPr>
        <sz val="12"/>
        <color rgb="FF000000"/>
        <rFont val="宋体"/>
        <charset val="134"/>
        <scheme val="minor"/>
      </rPr>
      <t xml:space="preserve">
返回账服查看不可提现金额新增的打码任务倍数</t>
    </r>
  </si>
  <si>
    <t>奖励获取正常
新的打码任务打码倍数为配置的普通充值活动奖励打码倍数</t>
  </si>
  <si>
    <t>运营活动1/2/3</t>
  </si>
  <si>
    <t>运营活动1/2/3已配置奖励打码倍数</t>
  </si>
  <si>
    <r>
      <rPr>
        <sz val="12"/>
        <color rgb="FF000000"/>
        <rFont val="宋体"/>
        <charset val="134"/>
        <scheme val="minor"/>
      </rPr>
      <t>在大厅中完成运营活动1/2/3充值赠送获得免费旋转次数赠送
进入游戏中消耗免费旋转次数</t>
    </r>
    <r>
      <rPr>
        <sz val="12"/>
        <color rgb="FFFF0000"/>
        <rFont val="宋体"/>
        <charset val="134"/>
        <scheme val="minor"/>
      </rPr>
      <t>（需要获得奖励）</t>
    </r>
    <r>
      <rPr>
        <sz val="12"/>
        <color rgb="FF000000"/>
        <rFont val="宋体"/>
        <charset val="134"/>
        <scheme val="minor"/>
      </rPr>
      <t xml:space="preserve">
返回账服查看不可提现金额新增的打码任务倍数</t>
    </r>
  </si>
  <si>
    <t>奖励获取正常
新的打码任务打码倍数为配置的运营活动1/2/3充值活动奖励打码倍数</t>
  </si>
  <si>
    <t>账服</t>
  </si>
  <si>
    <t>渠道注册赠送</t>
  </si>
  <si>
    <t>新增免费旋转打码倍数验证</t>
  </si>
  <si>
    <t>已进入运营管理/运营活动/账号赠送</t>
  </si>
  <si>
    <t>1、选择类型：渠道注册赠送，点击设置
2、在渠道注册赠送页，点击新增</t>
  </si>
  <si>
    <t>新增免费旋转打码倍数</t>
  </si>
  <si>
    <t>1、选择类型：渠道注册赠送，点击设置
2、在渠道注册赠送页，点击新增
3、其他信息正常输入，免费旋转打码倍数未输入，保存</t>
  </si>
  <si>
    <t>保存成功</t>
  </si>
  <si>
    <t>1、选择类型：渠道注册赠送，点击设置
2、在渠道注册赠送页，点击新增
3、其他信息正常输入，免费旋转打码倍数输入0/正整数，保存</t>
  </si>
  <si>
    <t>1、选择类型：渠道注册赠送，点击设置
2、在渠道注册赠送页，点击新增
3、其他信息正常输入，免费旋转打码倍数输入小数/负数/字母/非法字符</t>
  </si>
  <si>
    <t>无法输入</t>
  </si>
  <si>
    <t>1、选择类型：渠道注册赠送，点击设置
2、在渠道注册赠送页，选择更新前的配置项，点击编辑</t>
  </si>
  <si>
    <t>1、选择类型：渠道注册赠送，点击设置
2、在渠道注册赠送页，选择更新前的配置项，点击编辑
3、其他信息正常输入，免费旋转打码倍数输入正整数，保存</t>
  </si>
  <si>
    <t>客户端</t>
  </si>
  <si>
    <t>注册</t>
  </si>
  <si>
    <t>渠道注册赠送免费旋转打码倍数调整验证</t>
  </si>
  <si>
    <t>运营活动-账号赠送-渠道注册赠送下对应渠道已配置免费旋转打码倍数</t>
  </si>
  <si>
    <t>1、访问该渠道并成功注册，且获得免费旋转次数赠送
2、进入游戏中消耗免费旋转次数（需要获得奖励）
3、返回账服-玩家详情，查看不可提现金额新增的打码任务倍数</t>
  </si>
  <si>
    <t>1、奖励获取正常
2、新的打码任务打码倍数为渠道注册赠送对应渠道下配置的免费旋转打码倍数</t>
  </si>
  <si>
    <t>更新后对应渠道未配置免费旋转打码倍数</t>
  </si>
  <si>
    <t>1、奖励获取正常
2、没有生成打码任务</t>
  </si>
  <si>
    <t>1、更新前已获取免费旋转次数
2、更新后对该渠道配置免费旋转打码倍数</t>
  </si>
  <si>
    <t>1、选择该渠道下渠道注册赠送次数未使用完的账号登录大厅
2、进入游戏中消耗免费旋转次数（需要获得奖励）
3、返回账服-玩家详情，查看不可提现金额新增的打码任务倍数</t>
  </si>
  <si>
    <t>1、奖励获取正常
2、新的打码任务打码倍数为运营活动-打码量配置下配置的免费旋转活动打码量</t>
  </si>
  <si>
    <t>红包兑换</t>
  </si>
  <si>
    <t>红包2免费旋转打码倍数调整验证</t>
  </si>
  <si>
    <t>运营活动-打码量配置下已配置红包活动2赠送打码量</t>
  </si>
  <si>
    <t>1、选择任一玩家进行红包2的红包码兑换，且获得免费旋转次数赠送
2、进入游戏中消耗免费旋转次数（需要获得奖励）
3、返回账服-玩家详情，查看不可提现金额新增的打码任务倍数</t>
  </si>
  <si>
    <t>1、奖励获取正常
2、新的打码任务打码倍数为运营活动-打码量配置下配置的红包活动2赠送打码量</t>
  </si>
  <si>
    <t>1、更新前已获取免费旋转次数
2、更新后不再获取免费旋转次数</t>
  </si>
  <si>
    <t>1、选择任一红包2免费旋转次数未使用完的账号登录大厅
2、进入游戏中消耗免费旋转次数（需要获得奖励）
3、返回账服-玩家详情，查看不可提现金额新增的打码任务倍数</t>
  </si>
  <si>
    <t>1、更新前已获取免费旋转次数
2、更新后再次获取免费旋转次数</t>
  </si>
  <si>
    <t>1、选择任一更新前红包2免费旋转次数未使用完、更新后再次获取免费旋转次数的账号登录大厅
2、进入游戏中消耗免费旋转次数（需要获得奖励）
3、返回账服-玩家详情，查看不可提现金额新增的打码任务倍数</t>
  </si>
  <si>
    <t>奖励获取正常
根据三方返回的游戏数据判断具体的活动类型
1、免费旋转活动打码量（更新前获得的次数）
2、打码量配置下配置的红包活动2赠送打码量（更新后）</t>
  </si>
  <si>
    <t>任务奖励</t>
  </si>
  <si>
    <t>运营活动-打码量配置下已配置任务系统打码量</t>
  </si>
  <si>
    <t>1、任一玩家领取任务奖励，且获得免费旋转次数赠送
2、进入游戏中消耗免费旋转次数（需要获得奖励）
3、返回账服-玩家详情，查看不可提现金额新增的打码任务倍数</t>
  </si>
  <si>
    <t>1、奖励获取正常
2、新的打码任务打码倍数为运营活动-打码量配置下配置的任务系统打码量配置中的值</t>
  </si>
  <si>
    <t>1、选择任一从任务系统获得的免费旋转次数未使用完的账号登录大厅
2、进入游戏中消耗免费旋转次数（需要获得奖励）
3、返回账服-玩家详情，查看不可提现金额新增的打码任务倍数</t>
  </si>
  <si>
    <t>1、选择任一更新免费旋转次数未使用完、更新后再次获取免费旋转次数的账号登录大厅
2、进入游戏中消耗免费旋转次数（需要获得奖励）
3、返回账服-玩家详情，查看不可提现金额新增的打码任务倍数</t>
  </si>
  <si>
    <t>奖励获取正常
根据三方返回的游戏数据判断具体的活动类型
1、免费旋转活动打码量（更新前获得的次数）
2、打码量配置的任务系统打码量配置中的值（更新后）</t>
  </si>
  <si>
    <t>VIP奖励奖励</t>
  </si>
  <si>
    <t>运营活动-打码量配置下已配置VIP日周月奖励打码量</t>
  </si>
  <si>
    <t>1、任一玩家领取VIP日周月奖励，且获得免费旋转次数赠送
2、进入游戏中消耗免费旋转次数（需要获得奖励）
3、返回账服-玩家详情，查看不可提现金额新增的打码任务倍数</t>
  </si>
  <si>
    <t>1、奖励获取正常
2、新的打码任务打码倍数为运营活动-打码量配置下配置的VIP日周月奖励打码量配置中的值</t>
  </si>
  <si>
    <t>1、奖励获取正常
2、打码倍数为运营活动-打码量配置下配置的免费旋转活动打码量</t>
  </si>
  <si>
    <t>奖励获取正常
根据三方返回的游戏数据判断具体的活动类型
1、免费旋转活动打码量（更新前获得的次数）
2、打码量配置的VIP日周月奖励打码量配置中的值（更新后）</t>
  </si>
  <si>
    <t>提示频繁</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</si>
</sst>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6">
    <font>
      <sz val="11"/>
      <color theme="1"/>
      <name val="宋体"/>
      <charset val="134"/>
      <scheme val="minor"/>
    </font>
    <font>
      <u/>
      <sz val="11"/>
      <color rgb="FF800080"/>
      <name val="宋体"/>
      <charset val="134"/>
      <scheme val="minor"/>
    </font>
    <font>
      <u/>
      <sz val="11"/>
      <color rgb="FF0000FF"/>
      <name val="宋体"/>
      <charset val="134"/>
      <scheme val="minor"/>
    </font>
    <font>
      <b/>
      <sz val="12"/>
      <color theme="1"/>
      <name val="宋体"/>
      <charset val="134"/>
      <scheme val="minor"/>
    </font>
    <font>
      <sz val="12"/>
      <color rgb="FF333333"/>
      <name val="宋体"/>
      <charset val="134"/>
    </font>
    <font>
      <sz val="12"/>
      <color rgb="FF000000"/>
      <name val="宋体"/>
      <charset val="134"/>
    </font>
    <font>
      <b/>
      <sz val="11"/>
      <color theme="1"/>
      <name val="宋体"/>
      <charset val="134"/>
      <scheme val="minor"/>
    </font>
    <font>
      <sz val="12"/>
      <color theme="1"/>
      <name val="宋体"/>
      <charset val="134"/>
      <scheme val="minor"/>
    </font>
    <font>
      <b/>
      <sz val="12"/>
      <color theme="0"/>
      <name val="宋体"/>
      <charset val="136"/>
      <scheme val="minor"/>
    </font>
    <font>
      <b/>
      <sz val="12"/>
      <color theme="1"/>
      <name val="宋体"/>
      <charset val="136"/>
      <scheme val="minor"/>
    </font>
    <font>
      <b/>
      <sz val="12"/>
      <name val="宋体"/>
      <charset val="136"/>
      <scheme val="minor"/>
    </font>
    <font>
      <b/>
      <sz val="12"/>
      <color rgb="FF0000FF"/>
      <name val="宋体"/>
      <charset val="136"/>
      <scheme val="minor"/>
    </font>
    <font>
      <b/>
      <sz val="12"/>
      <color rgb="FFFF0000"/>
      <name val="宋体"/>
      <charset val="136"/>
      <scheme val="minor"/>
    </font>
    <font>
      <b/>
      <sz val="12"/>
      <color rgb="FF7030A0"/>
      <name val="宋体"/>
      <charset val="136"/>
      <scheme val="minor"/>
    </font>
    <font>
      <sz val="12"/>
      <color theme="1"/>
      <name val="宋体"/>
      <charset val="136"/>
      <scheme val="minor"/>
    </font>
    <font>
      <b/>
      <sz val="12"/>
      <color rgb="FF000000"/>
      <name val="宋体"/>
      <charset val="134"/>
      <scheme val="minor"/>
    </font>
    <font>
      <sz val="12"/>
      <color rgb="FF000000"/>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rgb="FFFF0000"/>
      <name val="宋体"/>
      <charset val="134"/>
      <scheme val="minor"/>
    </font>
  </fonts>
  <fills count="39">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rgb="FF0070C0"/>
        <bgColor indexed="64"/>
      </patternFill>
    </fill>
    <fill>
      <patternFill patternType="solid">
        <fgColor theme="6" tint="-0.249977111117893"/>
        <bgColor indexed="64"/>
      </patternFill>
    </fill>
    <fill>
      <patternFill patternType="solid">
        <fgColor theme="9" tint="-0.249977111117893"/>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0" fillId="8" borderId="9"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10" applyNumberFormat="0" applyFill="0" applyAlignment="0" applyProtection="0">
      <alignment vertical="center"/>
    </xf>
    <xf numFmtId="0" fontId="22" fillId="0" borderId="10" applyNumberFormat="0" applyFill="0" applyAlignment="0" applyProtection="0">
      <alignment vertical="center"/>
    </xf>
    <xf numFmtId="0" fontId="23" fillId="0" borderId="11" applyNumberFormat="0" applyFill="0" applyAlignment="0" applyProtection="0">
      <alignment vertical="center"/>
    </xf>
    <xf numFmtId="0" fontId="23" fillId="0" borderId="0" applyNumberFormat="0" applyFill="0" applyBorder="0" applyAlignment="0" applyProtection="0">
      <alignment vertical="center"/>
    </xf>
    <xf numFmtId="0" fontId="24" fillId="9" borderId="12" applyNumberFormat="0" applyAlignment="0" applyProtection="0">
      <alignment vertical="center"/>
    </xf>
    <xf numFmtId="0" fontId="25" fillId="10" borderId="13" applyNumberFormat="0" applyAlignment="0" applyProtection="0">
      <alignment vertical="center"/>
    </xf>
    <xf numFmtId="0" fontId="26" fillId="10" borderId="12" applyNumberFormat="0" applyAlignment="0" applyProtection="0">
      <alignment vertical="center"/>
    </xf>
    <xf numFmtId="0" fontId="27" fillId="11" borderId="14" applyNumberFormat="0" applyAlignment="0" applyProtection="0">
      <alignment vertical="center"/>
    </xf>
    <xf numFmtId="0" fontId="28" fillId="0" borderId="15" applyNumberFormat="0" applyFill="0" applyAlignment="0" applyProtection="0">
      <alignment vertical="center"/>
    </xf>
    <xf numFmtId="0" fontId="29" fillId="0" borderId="16" applyNumberFormat="0" applyFill="0" applyAlignment="0" applyProtection="0">
      <alignment vertical="center"/>
    </xf>
    <xf numFmtId="0" fontId="30" fillId="12" borderId="0" applyNumberFormat="0" applyBorder="0" applyAlignment="0" applyProtection="0">
      <alignment vertical="center"/>
    </xf>
    <xf numFmtId="0" fontId="31" fillId="13" borderId="0" applyNumberFormat="0" applyBorder="0" applyAlignment="0" applyProtection="0">
      <alignment vertical="center"/>
    </xf>
    <xf numFmtId="0" fontId="32" fillId="14" borderId="0" applyNumberFormat="0" applyBorder="0" applyAlignment="0" applyProtection="0">
      <alignment vertical="center"/>
    </xf>
    <xf numFmtId="0" fontId="33"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3" fillId="18" borderId="0" applyNumberFormat="0" applyBorder="0" applyAlignment="0" applyProtection="0">
      <alignment vertical="center"/>
    </xf>
    <xf numFmtId="0" fontId="33"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3" fillId="22" borderId="0" applyNumberFormat="0" applyBorder="0" applyAlignment="0" applyProtection="0">
      <alignment vertical="center"/>
    </xf>
    <xf numFmtId="0" fontId="33"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3" fillId="26" borderId="0" applyNumberFormat="0" applyBorder="0" applyAlignment="0" applyProtection="0">
      <alignment vertical="center"/>
    </xf>
    <xf numFmtId="0" fontId="33"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3" fillId="30" borderId="0" applyNumberFormat="0" applyBorder="0" applyAlignment="0" applyProtection="0">
      <alignment vertical="center"/>
    </xf>
    <xf numFmtId="0" fontId="33"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3" fillId="34" borderId="0" applyNumberFormat="0" applyBorder="0" applyAlignment="0" applyProtection="0">
      <alignment vertical="center"/>
    </xf>
    <xf numFmtId="0" fontId="33" fillId="35" borderId="0" applyNumberFormat="0" applyBorder="0" applyAlignment="0" applyProtection="0">
      <alignment vertical="center"/>
    </xf>
    <xf numFmtId="0" fontId="34" fillId="36" borderId="0" applyNumberFormat="0" applyBorder="0" applyAlignment="0" applyProtection="0">
      <alignment vertical="center"/>
    </xf>
    <xf numFmtId="0" fontId="34" fillId="37" borderId="0" applyNumberFormat="0" applyBorder="0" applyAlignment="0" applyProtection="0">
      <alignment vertical="center"/>
    </xf>
    <xf numFmtId="0" fontId="33" fillId="38" borderId="0" applyNumberFormat="0" applyBorder="0" applyAlignment="0" applyProtection="0">
      <alignment vertical="center"/>
    </xf>
    <xf numFmtId="0" fontId="14" fillId="0" borderId="0">
      <alignment vertical="center"/>
    </xf>
  </cellStyleXfs>
  <cellXfs count="66">
    <xf numFmtId="0" fontId="0" fillId="0" borderId="0" xfId="0">
      <alignment vertical="center"/>
    </xf>
    <xf numFmtId="0" fontId="0" fillId="0" borderId="0" xfId="0" applyAlignment="1">
      <alignment horizontal="center" vertical="center" wrapText="1"/>
    </xf>
    <xf numFmtId="0" fontId="0" fillId="0" borderId="0" xfId="0" applyAlignment="1">
      <alignment vertical="center" wrapText="1"/>
    </xf>
    <xf numFmtId="0" fontId="1" fillId="0" borderId="0" xfId="6" applyFont="1" applyAlignment="1">
      <alignment horizontal="center" vertical="center"/>
    </xf>
    <xf numFmtId="0" fontId="2" fillId="0" borderId="0" xfId="6"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0" borderId="0" xfId="0" applyFont="1" applyAlignment="1">
      <alignment vertical="center"/>
    </xf>
    <xf numFmtId="0" fontId="4" fillId="0" borderId="0" xfId="0" applyFont="1" applyAlignment="1">
      <alignment horizontal="left" vertical="center"/>
    </xf>
    <xf numFmtId="0" fontId="5" fillId="0" borderId="0" xfId="0" applyFont="1" applyAlignment="1">
      <alignment horizontal="justify" vertical="center"/>
    </xf>
    <xf numFmtId="0" fontId="6"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vertical="center" wrapText="1"/>
    </xf>
    <xf numFmtId="0" fontId="6" fillId="0" borderId="0" xfId="0" applyFont="1" applyAlignment="1">
      <alignment vertical="center"/>
    </xf>
    <xf numFmtId="0" fontId="7" fillId="2" borderId="1" xfId="0" applyFont="1" applyFill="1" applyBorder="1" applyAlignment="1">
      <alignment vertical="center"/>
    </xf>
    <xf numFmtId="0" fontId="0" fillId="0" borderId="1" xfId="0" applyBorder="1" applyAlignment="1">
      <alignment vertical="center"/>
    </xf>
    <xf numFmtId="0" fontId="3" fillId="0" borderId="1" xfId="0" applyFont="1" applyBorder="1" applyAlignment="1">
      <alignment horizontal="center" vertical="center"/>
    </xf>
    <xf numFmtId="0" fontId="7" fillId="0" borderId="1" xfId="0" applyFont="1" applyBorder="1" applyAlignment="1">
      <alignment horizontal="center" vertical="center"/>
    </xf>
    <xf numFmtId="0" fontId="7" fillId="0" borderId="1" xfId="0" applyFont="1" applyBorder="1" applyAlignment="1">
      <alignment horizontal="left" vertical="center"/>
    </xf>
    <xf numFmtId="0" fontId="7" fillId="0" borderId="1" xfId="0" applyFont="1" applyBorder="1" applyAlignment="1">
      <alignment vertical="center"/>
    </xf>
    <xf numFmtId="0" fontId="8" fillId="3" borderId="2" xfId="49" applyFont="1" applyFill="1" applyBorder="1" applyAlignment="1">
      <alignment horizontal="center" vertical="center"/>
    </xf>
    <xf numFmtId="0" fontId="8" fillId="3" borderId="3" xfId="49" applyFont="1" applyFill="1" applyBorder="1" applyAlignment="1">
      <alignment horizontal="center" vertical="center"/>
    </xf>
    <xf numFmtId="0" fontId="8" fillId="3" borderId="3" xfId="49" applyFont="1" applyFill="1" applyBorder="1" applyAlignment="1">
      <alignment horizontal="left" vertical="center"/>
    </xf>
    <xf numFmtId="0" fontId="8" fillId="3" borderId="4" xfId="49" applyFont="1" applyFill="1" applyBorder="1" applyAlignment="1">
      <alignment horizontal="left" vertical="center"/>
    </xf>
    <xf numFmtId="0" fontId="8" fillId="4" borderId="1" xfId="49" applyFont="1" applyFill="1" applyBorder="1" applyAlignment="1">
      <alignment horizontal="center" vertical="center"/>
    </xf>
    <xf numFmtId="0" fontId="9" fillId="2" borderId="1" xfId="49" applyFont="1" applyFill="1" applyBorder="1" applyAlignment="1">
      <alignment horizontal="center" vertical="center"/>
    </xf>
    <xf numFmtId="49" fontId="8" fillId="5" borderId="1" xfId="0" applyNumberFormat="1" applyFont="1" applyFill="1" applyBorder="1" applyAlignment="1">
      <alignment horizontal="center" vertical="center"/>
    </xf>
    <xf numFmtId="49" fontId="10" fillId="2" borderId="1" xfId="0" applyNumberFormat="1" applyFont="1" applyFill="1" applyBorder="1" applyAlignment="1">
      <alignment horizontal="center" vertical="center"/>
    </xf>
    <xf numFmtId="49" fontId="8" fillId="2" borderId="1" xfId="0" applyNumberFormat="1" applyFont="1" applyFill="1" applyBorder="1" applyAlignment="1">
      <alignment horizontal="center" vertical="center"/>
    </xf>
    <xf numFmtId="0" fontId="8" fillId="5" borderId="1" xfId="0" applyFont="1" applyFill="1" applyBorder="1" applyAlignment="1">
      <alignment horizontal="center" vertical="center"/>
    </xf>
    <xf numFmtId="14" fontId="9" fillId="2" borderId="1" xfId="49" applyNumberFormat="1" applyFont="1" applyFill="1" applyBorder="1" applyAlignment="1">
      <alignment horizontal="center" vertical="center"/>
    </xf>
    <xf numFmtId="0" fontId="11" fillId="2" borderId="1" xfId="49" applyFont="1" applyFill="1" applyBorder="1" applyAlignment="1">
      <alignment horizontal="center" vertical="center"/>
    </xf>
    <xf numFmtId="46" fontId="9" fillId="2" borderId="1" xfId="49" applyNumberFormat="1" applyFont="1" applyFill="1" applyBorder="1" applyAlignment="1">
      <alignment horizontal="center" vertical="center"/>
    </xf>
    <xf numFmtId="0" fontId="12" fillId="2" borderId="1" xfId="49" applyFont="1" applyFill="1" applyBorder="1" applyAlignment="1">
      <alignment horizontal="center" vertical="center"/>
    </xf>
    <xf numFmtId="0" fontId="8" fillId="2" borderId="1" xfId="0" applyFont="1" applyFill="1" applyBorder="1" applyAlignment="1">
      <alignment horizontal="center" vertical="center"/>
    </xf>
    <xf numFmtId="0" fontId="9" fillId="2" borderId="1" xfId="0" applyFont="1" applyFill="1" applyBorder="1" applyAlignment="1">
      <alignment horizontal="center" vertical="center"/>
    </xf>
    <xf numFmtId="0" fontId="13" fillId="2" borderId="1" xfId="49" applyFont="1" applyFill="1" applyBorder="1" applyAlignment="1">
      <alignment horizontal="center" vertical="center"/>
    </xf>
    <xf numFmtId="0" fontId="8" fillId="5" borderId="1" xfId="49" applyFont="1" applyFill="1" applyBorder="1" applyAlignment="1">
      <alignment horizontal="center" vertical="center"/>
    </xf>
    <xf numFmtId="0" fontId="8" fillId="2" borderId="1" xfId="49" applyFont="1" applyFill="1" applyBorder="1" applyAlignment="1">
      <alignment horizontal="center" vertical="center"/>
    </xf>
    <xf numFmtId="0" fontId="14" fillId="0" borderId="1" xfId="0" applyFont="1" applyFill="1" applyBorder="1" applyAlignment="1">
      <alignment horizontal="center" vertical="center" wrapText="1"/>
    </xf>
    <xf numFmtId="0" fontId="8" fillId="6" borderId="1" xfId="0" applyFont="1" applyFill="1" applyBorder="1" applyAlignment="1">
      <alignment horizontal="center" vertical="center"/>
    </xf>
    <xf numFmtId="0" fontId="15" fillId="7" borderId="1" xfId="0" applyFont="1" applyFill="1" applyBorder="1" applyAlignment="1">
      <alignment horizontal="center" vertical="center" wrapText="1"/>
    </xf>
    <xf numFmtId="0" fontId="16" fillId="7" borderId="5" xfId="0" applyFont="1" applyFill="1" applyBorder="1" applyAlignment="1">
      <alignment horizontal="center" vertical="center" wrapText="1"/>
    </xf>
    <xf numFmtId="0" fontId="16" fillId="7" borderId="1" xfId="0" applyFont="1" applyFill="1" applyBorder="1" applyAlignment="1">
      <alignment horizontal="left" vertical="center" wrapText="1"/>
    </xf>
    <xf numFmtId="0" fontId="5" fillId="7" borderId="6" xfId="0" applyFont="1" applyFill="1" applyBorder="1" applyAlignment="1">
      <alignment vertical="center" wrapText="1"/>
    </xf>
    <xf numFmtId="0" fontId="14" fillId="2" borderId="1" xfId="0" applyFont="1" applyFill="1" applyBorder="1" applyAlignment="1">
      <alignment horizontal="center" vertical="center" wrapText="1"/>
    </xf>
    <xf numFmtId="0" fontId="16" fillId="7" borderId="1" xfId="0" applyFont="1" applyFill="1" applyBorder="1" applyAlignment="1">
      <alignment horizontal="center" vertical="center" wrapText="1"/>
    </xf>
    <xf numFmtId="0" fontId="7" fillId="2" borderId="1" xfId="0" applyFont="1" applyFill="1" applyBorder="1" applyAlignment="1">
      <alignment horizontal="center" vertical="center"/>
    </xf>
    <xf numFmtId="0" fontId="16" fillId="7" borderId="7" xfId="0" applyFont="1" applyFill="1" applyBorder="1" applyAlignment="1">
      <alignment horizontal="center" vertical="center" wrapText="1"/>
    </xf>
    <xf numFmtId="0" fontId="0" fillId="0" borderId="1" xfId="0" applyBorder="1" applyAlignment="1">
      <alignment horizontal="center" vertical="center"/>
    </xf>
    <xf numFmtId="0" fontId="16" fillId="7" borderId="8" xfId="0" applyFont="1" applyFill="1" applyBorder="1" applyAlignment="1">
      <alignment horizontal="center" vertical="center" wrapText="1"/>
    </xf>
    <xf numFmtId="0" fontId="15" fillId="7" borderId="5" xfId="0" applyFont="1" applyFill="1" applyBorder="1" applyAlignment="1">
      <alignment horizontal="center" vertical="center" wrapText="1"/>
    </xf>
    <xf numFmtId="0" fontId="16" fillId="7" borderId="5" xfId="0" applyFont="1" applyFill="1" applyBorder="1" applyAlignment="1">
      <alignment horizontal="left" vertical="center" wrapText="1"/>
    </xf>
    <xf numFmtId="0" fontId="14" fillId="2" borderId="5" xfId="0" applyFont="1" applyFill="1" applyBorder="1" applyAlignment="1">
      <alignment horizontal="center" vertical="center" wrapText="1"/>
    </xf>
    <xf numFmtId="0" fontId="7" fillId="0" borderId="5" xfId="0" applyFont="1" applyBorder="1" applyAlignment="1">
      <alignment horizontal="center" vertical="center"/>
    </xf>
    <xf numFmtId="0" fontId="15" fillId="7" borderId="7" xfId="0" applyFont="1" applyFill="1" applyBorder="1" applyAlignment="1">
      <alignment horizontal="center" vertical="center" wrapText="1"/>
    </xf>
    <xf numFmtId="0" fontId="16" fillId="7" borderId="7" xfId="0" applyFont="1" applyFill="1" applyBorder="1" applyAlignment="1">
      <alignment horizontal="left" vertical="center" wrapText="1"/>
    </xf>
    <xf numFmtId="0" fontId="14" fillId="2" borderId="7" xfId="0" applyFont="1" applyFill="1" applyBorder="1" applyAlignment="1">
      <alignment horizontal="center" vertical="center" wrapText="1"/>
    </xf>
    <xf numFmtId="0" fontId="7" fillId="0" borderId="7" xfId="0" applyFont="1" applyBorder="1" applyAlignment="1">
      <alignment horizontal="center" vertical="center"/>
    </xf>
    <xf numFmtId="0" fontId="15" fillId="7" borderId="8" xfId="0" applyFont="1" applyFill="1" applyBorder="1" applyAlignment="1">
      <alignment horizontal="center" vertical="center" wrapText="1"/>
    </xf>
    <xf numFmtId="0" fontId="16" fillId="7" borderId="8" xfId="0" applyFont="1" applyFill="1" applyBorder="1" applyAlignment="1">
      <alignment horizontal="left" vertical="center" wrapText="1"/>
    </xf>
    <xf numFmtId="0" fontId="14" fillId="2" borderId="8" xfId="0" applyFont="1" applyFill="1" applyBorder="1" applyAlignment="1">
      <alignment horizontal="center" vertical="center" wrapText="1"/>
    </xf>
    <xf numFmtId="0" fontId="7" fillId="0" borderId="8" xfId="0" applyFont="1" applyBorder="1" applyAlignment="1">
      <alignment horizontal="center" vertical="center"/>
    </xf>
    <xf numFmtId="0" fontId="16" fillId="0" borderId="1" xfId="0" applyFont="1" applyFill="1" applyBorder="1" applyAlignment="1">
      <alignment horizontal="left" vertical="center" wrapText="1"/>
    </xf>
    <xf numFmtId="0" fontId="16" fillId="0" borderId="1" xfId="0" applyFont="1" applyFill="1" applyBorder="1" applyAlignment="1">
      <alignment horizontal="center" vertical="center" wrapText="1"/>
    </xf>
    <xf numFmtId="0" fontId="15" fillId="0" borderId="1" xfId="0" applyFont="1" applyFill="1" applyBorder="1" applyAlignment="1">
      <alignment horizontal="center"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一般 10" xfId="49"/>
  </cellStyles>
  <dxfs count="3">
    <dxf>
      <font>
        <b val="0"/>
        <i val="0"/>
        <color rgb="FF0000FF"/>
      </font>
    </dxf>
    <dxf>
      <font>
        <b val="0"/>
        <i val="0"/>
        <color rgb="FFFF0000"/>
      </font>
    </dxf>
    <dxf>
      <font>
        <b val="0"/>
        <i val="0"/>
        <color rgb="FF7030A0"/>
      </font>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customXml" Target="../customXml/item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3"/>
  <sheetViews>
    <sheetView tabSelected="1" zoomScale="85" zoomScaleNormal="85" workbookViewId="0">
      <pane ySplit="8" topLeftCell="A20" activePane="bottomLeft" state="frozen"/>
      <selection/>
      <selection pane="bottomLeft" activeCell="F25" sqref="F25"/>
    </sheetView>
  </sheetViews>
  <sheetFormatPr defaultColWidth="9" defaultRowHeight="14.25"/>
  <cols>
    <col min="1" max="2" width="25.75" style="16" customWidth="1"/>
    <col min="3" max="3" width="30.625" style="17" customWidth="1"/>
    <col min="4" max="4" width="29.5" style="17" customWidth="1"/>
    <col min="5" max="5" width="68.125" style="18" customWidth="1"/>
    <col min="6" max="6" width="65.25" style="18" customWidth="1"/>
    <col min="7" max="7" width="47.375" style="18" customWidth="1"/>
    <col min="8" max="8" width="9" style="17"/>
    <col min="9" max="9" width="36.125" style="17" customWidth="1"/>
    <col min="10" max="10" width="19" style="17" customWidth="1"/>
    <col min="11" max="16384" width="9" style="19"/>
  </cols>
  <sheetData>
    <row r="1" ht="16.5" customHeight="1" spans="1:10">
      <c r="A1" s="20" t="s">
        <v>0</v>
      </c>
      <c r="B1" s="21"/>
      <c r="C1" s="21"/>
      <c r="D1" s="21"/>
      <c r="E1" s="22"/>
      <c r="F1" s="23"/>
      <c r="G1" s="24" t="s">
        <v>1</v>
      </c>
      <c r="H1" s="25">
        <f>COUNT(A1:A247)</f>
        <v>16</v>
      </c>
    </row>
    <row r="2" spans="1:10">
      <c r="A2" s="26" t="s">
        <v>2</v>
      </c>
      <c r="B2" s="27"/>
      <c r="C2" s="28"/>
      <c r="D2" s="28"/>
      <c r="E2" s="29" t="s">
        <v>3</v>
      </c>
      <c r="F2" s="30">
        <v>46010</v>
      </c>
      <c r="G2" s="31" t="s">
        <v>4</v>
      </c>
      <c r="H2" s="31">
        <f>COUNTIF(H9:H241,"Pass")</f>
        <v>0</v>
      </c>
    </row>
    <row r="3" ht="16.5" customHeight="1" spans="1:10">
      <c r="A3" s="26" t="s">
        <v>5</v>
      </c>
      <c r="B3" s="28"/>
      <c r="C3" s="28"/>
      <c r="D3" s="28"/>
      <c r="E3" s="29" t="s">
        <v>6</v>
      </c>
      <c r="F3" s="32"/>
      <c r="G3" s="33" t="s">
        <v>7</v>
      </c>
      <c r="H3" s="33">
        <f>COUNTIF(H9:H241,"Fail")</f>
        <v>0</v>
      </c>
    </row>
    <row r="4" ht="16.5" customHeight="1" spans="1:10">
      <c r="A4" s="29" t="s">
        <v>8</v>
      </c>
      <c r="B4" s="34"/>
      <c r="C4" s="34"/>
      <c r="D4" s="34"/>
      <c r="E4" s="26" t="s">
        <v>9</v>
      </c>
      <c r="F4" s="35"/>
      <c r="G4" s="36" t="s">
        <v>10</v>
      </c>
      <c r="H4" s="36"/>
    </row>
    <row r="5" ht="16.5" customHeight="1" spans="1:10">
      <c r="A5" s="26" t="s">
        <v>11</v>
      </c>
      <c r="B5" s="28"/>
      <c r="C5" s="28"/>
      <c r="D5" s="28"/>
      <c r="E5" s="29" t="s">
        <v>12</v>
      </c>
      <c r="F5" s="35"/>
      <c r="G5" s="17"/>
    </row>
    <row r="6" spans="1:10">
      <c r="A6" s="37" t="s">
        <v>13</v>
      </c>
      <c r="B6" s="38"/>
      <c r="C6" s="38"/>
      <c r="D6" s="38"/>
      <c r="E6" s="39"/>
      <c r="F6" s="39"/>
      <c r="G6" s="39"/>
    </row>
    <row r="7" customHeight="1" spans="1:10">
      <c r="E7" s="17"/>
      <c r="F7" s="17"/>
      <c r="G7" s="17"/>
    </row>
    <row r="8" spans="1:10">
      <c r="A8" s="40" t="s">
        <v>14</v>
      </c>
      <c r="B8" s="40" t="s">
        <v>15</v>
      </c>
      <c r="C8" s="40" t="s">
        <v>16</v>
      </c>
      <c r="D8" s="40" t="s">
        <v>17</v>
      </c>
      <c r="E8" s="40" t="s">
        <v>18</v>
      </c>
      <c r="F8" s="40" t="s">
        <v>19</v>
      </c>
      <c r="G8" s="40" t="s">
        <v>20</v>
      </c>
      <c r="H8" s="40" t="s">
        <v>21</v>
      </c>
      <c r="I8" s="40" t="s">
        <v>22</v>
      </c>
      <c r="J8" s="40" t="s">
        <v>23</v>
      </c>
    </row>
    <row r="9" s="14" customFormat="1" ht="47.1" customHeight="1" spans="1:10">
      <c r="A9" s="41">
        <v>1</v>
      </c>
      <c r="B9" s="42" t="s">
        <v>24</v>
      </c>
      <c r="C9" s="42" t="s">
        <v>25</v>
      </c>
      <c r="D9" s="42" t="s">
        <v>26</v>
      </c>
      <c r="E9" s="43" t="s">
        <v>27</v>
      </c>
      <c r="F9" s="43" t="s">
        <v>28</v>
      </c>
      <c r="G9" s="44" t="s">
        <v>29</v>
      </c>
      <c r="H9" s="45"/>
      <c r="I9" s="46"/>
      <c r="J9" s="47"/>
    </row>
    <row r="10" s="14" customFormat="1" ht="93" customHeight="1" spans="1:10">
      <c r="A10" s="41">
        <v>2</v>
      </c>
      <c r="B10" s="48"/>
      <c r="C10" s="48"/>
      <c r="D10" s="48"/>
      <c r="E10" s="43" t="s">
        <v>30</v>
      </c>
      <c r="F10" s="43" t="s">
        <v>31</v>
      </c>
      <c r="G10" s="44" t="s">
        <v>32</v>
      </c>
      <c r="H10" s="45"/>
      <c r="I10" s="46"/>
      <c r="J10" s="47"/>
    </row>
    <row r="11" s="14" customFormat="1" ht="66" customHeight="1" spans="1:10">
      <c r="A11" s="41">
        <v>3</v>
      </c>
      <c r="B11" s="48"/>
      <c r="C11" s="48"/>
      <c r="D11" s="48"/>
      <c r="E11" s="43" t="s">
        <v>33</v>
      </c>
      <c r="F11" s="43" t="s">
        <v>34</v>
      </c>
      <c r="G11" s="44" t="s">
        <v>35</v>
      </c>
      <c r="H11" s="45"/>
      <c r="I11" s="46"/>
      <c r="J11" s="47"/>
    </row>
    <row r="12" s="15" customFormat="1" ht="87" customHeight="1" spans="1:10">
      <c r="A12" s="41">
        <v>4</v>
      </c>
      <c r="B12" s="48"/>
      <c r="C12" s="48"/>
      <c r="D12" s="48"/>
      <c r="E12" s="43" t="s">
        <v>30</v>
      </c>
      <c r="F12" s="43" t="s">
        <v>36</v>
      </c>
      <c r="G12" s="44" t="s">
        <v>32</v>
      </c>
      <c r="H12" s="45"/>
      <c r="I12" s="46"/>
      <c r="J12" s="49"/>
    </row>
    <row r="13" s="15" customFormat="1" ht="59.1" customHeight="1" spans="1:10">
      <c r="A13" s="41">
        <v>5</v>
      </c>
      <c r="B13" s="48"/>
      <c r="C13" s="48"/>
      <c r="D13" s="48"/>
      <c r="E13" s="43" t="s">
        <v>37</v>
      </c>
      <c r="F13" s="43" t="s">
        <v>38</v>
      </c>
      <c r="G13" s="44" t="s">
        <v>39</v>
      </c>
      <c r="H13" s="45"/>
      <c r="I13" s="46"/>
      <c r="J13" s="17"/>
    </row>
    <row r="14" s="15" customFormat="1" ht="75.95" customHeight="1" spans="1:10">
      <c r="A14" s="41">
        <v>6</v>
      </c>
      <c r="B14" s="48"/>
      <c r="C14" s="48"/>
      <c r="D14" s="48"/>
      <c r="E14" s="43" t="s">
        <v>30</v>
      </c>
      <c r="F14" s="43" t="s">
        <v>40</v>
      </c>
      <c r="G14" s="44" t="s">
        <v>32</v>
      </c>
      <c r="H14" s="45"/>
      <c r="I14" s="46"/>
      <c r="J14" s="17"/>
    </row>
    <row r="15" s="15" customFormat="1" ht="68.1" customHeight="1" spans="1:10">
      <c r="A15" s="41">
        <v>7</v>
      </c>
      <c r="B15" s="48"/>
      <c r="C15" s="48"/>
      <c r="D15" s="50"/>
      <c r="E15" s="43" t="s">
        <v>41</v>
      </c>
      <c r="F15" s="43" t="s">
        <v>42</v>
      </c>
      <c r="G15" s="44" t="s">
        <v>43</v>
      </c>
      <c r="H15" s="45"/>
      <c r="I15" s="46"/>
      <c r="J15" s="17"/>
    </row>
    <row r="16" s="15" customFormat="1" ht="45.95" customHeight="1" spans="1:10">
      <c r="A16" s="41">
        <v>8</v>
      </c>
      <c r="B16" s="48"/>
      <c r="C16" s="50"/>
      <c r="D16" s="46" t="s">
        <v>44</v>
      </c>
      <c r="E16" s="43"/>
      <c r="F16" s="43" t="s">
        <v>45</v>
      </c>
      <c r="G16" s="44" t="s">
        <v>46</v>
      </c>
      <c r="H16" s="45"/>
      <c r="I16" s="46"/>
      <c r="J16" s="17"/>
    </row>
    <row r="17" s="15" customFormat="1" ht="57" customHeight="1" spans="1:10">
      <c r="A17" s="41">
        <v>9</v>
      </c>
      <c r="B17" s="48"/>
      <c r="C17" s="42" t="s">
        <v>47</v>
      </c>
      <c r="D17" s="46" t="s">
        <v>44</v>
      </c>
      <c r="E17" s="43"/>
      <c r="F17" s="43" t="s">
        <v>48</v>
      </c>
      <c r="G17" s="44" t="s">
        <v>49</v>
      </c>
      <c r="H17" s="45"/>
      <c r="I17" s="46"/>
      <c r="J17" s="17"/>
    </row>
    <row r="18" ht="57" customHeight="1" spans="1:10">
      <c r="A18" s="41">
        <v>10</v>
      </c>
      <c r="B18" s="48"/>
      <c r="C18" s="50"/>
      <c r="D18" s="46" t="s">
        <v>26</v>
      </c>
      <c r="E18" s="43" t="s">
        <v>50</v>
      </c>
      <c r="F18" s="43" t="s">
        <v>51</v>
      </c>
      <c r="G18" s="44" t="s">
        <v>52</v>
      </c>
      <c r="H18" s="45"/>
      <c r="I18" s="46"/>
    </row>
    <row r="19" ht="90" customHeight="1" spans="1:10">
      <c r="A19" s="41">
        <v>11</v>
      </c>
      <c r="B19" s="50"/>
      <c r="C19" s="46" t="s">
        <v>53</v>
      </c>
      <c r="D19" s="46" t="s">
        <v>26</v>
      </c>
      <c r="E19" s="43" t="s">
        <v>54</v>
      </c>
      <c r="F19" s="43" t="s">
        <v>55</v>
      </c>
      <c r="G19" s="44" t="s">
        <v>56</v>
      </c>
      <c r="H19" s="45"/>
      <c r="I19" s="46"/>
    </row>
    <row r="20" ht="66" customHeight="1" spans="1:10">
      <c r="A20" s="51">
        <v>12</v>
      </c>
      <c r="B20" s="42" t="s">
        <v>57</v>
      </c>
      <c r="C20" s="42" t="s">
        <v>58</v>
      </c>
      <c r="D20" s="42" t="s">
        <v>59</v>
      </c>
      <c r="E20" s="52" t="s">
        <v>60</v>
      </c>
      <c r="F20" s="43" t="s">
        <v>61</v>
      </c>
      <c r="G20" s="43" t="s">
        <v>62</v>
      </c>
      <c r="H20" s="53"/>
      <c r="I20" s="46"/>
      <c r="J20" s="54"/>
    </row>
    <row r="21" ht="66" customHeight="1" spans="1:10">
      <c r="A21" s="55"/>
      <c r="B21" s="48"/>
      <c r="C21" s="48"/>
      <c r="D21" s="48"/>
      <c r="E21" s="56"/>
      <c r="F21" s="43" t="s">
        <v>63</v>
      </c>
      <c r="G21" s="43" t="s">
        <v>64</v>
      </c>
      <c r="H21" s="57"/>
      <c r="I21" s="46"/>
      <c r="J21" s="58"/>
    </row>
    <row r="22" ht="66" customHeight="1" spans="1:10">
      <c r="A22" s="55"/>
      <c r="B22" s="48"/>
      <c r="C22" s="48"/>
      <c r="D22" s="48"/>
      <c r="E22" s="56"/>
      <c r="F22" s="43" t="s">
        <v>65</v>
      </c>
      <c r="G22" s="43" t="s">
        <v>64</v>
      </c>
      <c r="H22" s="57"/>
      <c r="I22" s="46"/>
      <c r="J22" s="58"/>
    </row>
    <row r="23" ht="66" customHeight="1" spans="1:10">
      <c r="A23" s="55"/>
      <c r="B23" s="48"/>
      <c r="C23" s="48"/>
      <c r="D23" s="48"/>
      <c r="E23" s="56"/>
      <c r="F23" s="43" t="s">
        <v>66</v>
      </c>
      <c r="G23" s="43" t="s">
        <v>67</v>
      </c>
      <c r="H23" s="57"/>
      <c r="I23" s="46"/>
      <c r="J23" s="58"/>
    </row>
    <row r="24" ht="60" customHeight="1" spans="1:10">
      <c r="A24" s="55"/>
      <c r="B24" s="48"/>
      <c r="C24" s="48"/>
      <c r="D24" s="48"/>
      <c r="E24" s="56"/>
      <c r="F24" s="43" t="s">
        <v>68</v>
      </c>
      <c r="G24" s="43" t="s">
        <v>62</v>
      </c>
      <c r="H24" s="57"/>
      <c r="I24" s="46"/>
      <c r="J24" s="58"/>
    </row>
    <row r="25" ht="60" customHeight="1" spans="1:10">
      <c r="A25" s="59"/>
      <c r="B25" s="50"/>
      <c r="C25" s="50"/>
      <c r="D25" s="50"/>
      <c r="E25" s="60"/>
      <c r="F25" s="43" t="s">
        <v>69</v>
      </c>
      <c r="G25" s="43" t="s">
        <v>64</v>
      </c>
      <c r="H25" s="61"/>
      <c r="I25" s="46"/>
      <c r="J25" s="62"/>
    </row>
    <row r="26" ht="60" customHeight="1" spans="1:10">
      <c r="A26" s="51">
        <v>13</v>
      </c>
      <c r="B26" s="42" t="s">
        <v>70</v>
      </c>
      <c r="C26" s="42" t="s">
        <v>71</v>
      </c>
      <c r="D26" s="42" t="s">
        <v>72</v>
      </c>
      <c r="E26" s="43" t="s">
        <v>73</v>
      </c>
      <c r="F26" s="43" t="s">
        <v>74</v>
      </c>
      <c r="G26" s="43" t="s">
        <v>75</v>
      </c>
      <c r="H26" s="53"/>
      <c r="I26" s="46"/>
      <c r="J26" s="54"/>
    </row>
    <row r="27" ht="60" customHeight="1" spans="1:10">
      <c r="A27" s="55"/>
      <c r="B27" s="48"/>
      <c r="C27" s="48"/>
      <c r="D27" s="48"/>
      <c r="E27" s="43" t="s">
        <v>76</v>
      </c>
      <c r="F27" s="43" t="s">
        <v>74</v>
      </c>
      <c r="G27" s="43" t="s">
        <v>77</v>
      </c>
      <c r="H27" s="57"/>
      <c r="I27" s="46"/>
      <c r="J27" s="58"/>
    </row>
    <row r="28" ht="60" customHeight="1" spans="1:10">
      <c r="A28" s="59"/>
      <c r="B28" s="50"/>
      <c r="C28" s="50"/>
      <c r="D28" s="50"/>
      <c r="E28" s="43" t="s">
        <v>78</v>
      </c>
      <c r="F28" s="43" t="s">
        <v>79</v>
      </c>
      <c r="G28" s="43" t="s">
        <v>80</v>
      </c>
      <c r="H28" s="61"/>
      <c r="I28" s="46"/>
      <c r="J28" s="62"/>
    </row>
    <row r="29" ht="60" customHeight="1" spans="1:10">
      <c r="A29" s="51">
        <v>14</v>
      </c>
      <c r="B29" s="42" t="s">
        <v>70</v>
      </c>
      <c r="C29" s="42" t="s">
        <v>81</v>
      </c>
      <c r="D29" s="42" t="s">
        <v>82</v>
      </c>
      <c r="E29" s="43" t="s">
        <v>83</v>
      </c>
      <c r="F29" s="43" t="s">
        <v>84</v>
      </c>
      <c r="G29" s="43" t="s">
        <v>85</v>
      </c>
      <c r="H29" s="53"/>
      <c r="I29" s="46"/>
      <c r="J29" s="54"/>
    </row>
    <row r="30" ht="60" customHeight="1" spans="1:10">
      <c r="A30" s="55"/>
      <c r="B30" s="48"/>
      <c r="C30" s="48"/>
      <c r="D30" s="48"/>
      <c r="E30" s="43" t="s">
        <v>86</v>
      </c>
      <c r="F30" s="63" t="s">
        <v>87</v>
      </c>
      <c r="G30" s="63" t="s">
        <v>80</v>
      </c>
      <c r="H30" s="57"/>
      <c r="I30" s="64"/>
      <c r="J30" s="58"/>
    </row>
    <row r="31" ht="113.1" customHeight="1" spans="1:10">
      <c r="A31" s="59"/>
      <c r="B31" s="50"/>
      <c r="C31" s="50"/>
      <c r="D31" s="50"/>
      <c r="E31" s="43" t="s">
        <v>88</v>
      </c>
      <c r="F31" s="43" t="s">
        <v>89</v>
      </c>
      <c r="G31" s="63" t="s">
        <v>90</v>
      </c>
      <c r="H31" s="61"/>
      <c r="I31" s="64"/>
      <c r="J31" s="62"/>
    </row>
    <row r="32" ht="60" customHeight="1" spans="1:10">
      <c r="A32" s="51">
        <v>15</v>
      </c>
      <c r="B32" s="42" t="s">
        <v>70</v>
      </c>
      <c r="C32" s="42" t="s">
        <v>91</v>
      </c>
      <c r="D32" s="42" t="s">
        <v>26</v>
      </c>
      <c r="E32" s="43" t="s">
        <v>92</v>
      </c>
      <c r="F32" s="43" t="s">
        <v>93</v>
      </c>
      <c r="G32" s="43" t="s">
        <v>94</v>
      </c>
      <c r="H32" s="45"/>
      <c r="I32" s="64"/>
    </row>
    <row r="33" ht="60" customHeight="1" spans="1:9">
      <c r="A33" s="55"/>
      <c r="B33" s="48"/>
      <c r="C33" s="48"/>
      <c r="D33" s="48"/>
      <c r="E33" s="43" t="s">
        <v>86</v>
      </c>
      <c r="F33" s="63" t="s">
        <v>95</v>
      </c>
      <c r="G33" s="63" t="s">
        <v>80</v>
      </c>
      <c r="H33" s="45"/>
      <c r="I33" s="64"/>
    </row>
    <row r="34" ht="135" customHeight="1" spans="1:9">
      <c r="A34" s="59"/>
      <c r="B34" s="50"/>
      <c r="C34" s="50"/>
      <c r="D34" s="50"/>
      <c r="E34" s="43" t="s">
        <v>88</v>
      </c>
      <c r="F34" s="43" t="s">
        <v>96</v>
      </c>
      <c r="G34" s="63" t="s">
        <v>97</v>
      </c>
      <c r="H34" s="45"/>
      <c r="I34" s="63"/>
    </row>
    <row r="35" ht="60" customHeight="1" spans="1:9">
      <c r="A35" s="51">
        <v>16</v>
      </c>
      <c r="B35" s="42" t="s">
        <v>70</v>
      </c>
      <c r="C35" s="42" t="s">
        <v>98</v>
      </c>
      <c r="D35" s="42" t="s">
        <v>26</v>
      </c>
      <c r="E35" s="43" t="s">
        <v>99</v>
      </c>
      <c r="F35" s="43" t="s">
        <v>100</v>
      </c>
      <c r="G35" s="43" t="s">
        <v>101</v>
      </c>
      <c r="H35" s="45"/>
      <c r="I35" s="64"/>
    </row>
    <row r="36" ht="60" customHeight="1" spans="1:9">
      <c r="A36" s="55"/>
      <c r="B36" s="48"/>
      <c r="C36" s="48"/>
      <c r="D36" s="48"/>
      <c r="E36" s="43" t="s">
        <v>86</v>
      </c>
      <c r="F36" s="63" t="s">
        <v>95</v>
      </c>
      <c r="G36" s="63" t="s">
        <v>102</v>
      </c>
      <c r="H36" s="45"/>
      <c r="I36" s="64"/>
    </row>
    <row r="37" ht="119" customHeight="1" spans="1:9">
      <c r="A37" s="59"/>
      <c r="B37" s="50"/>
      <c r="C37" s="50"/>
      <c r="D37" s="50"/>
      <c r="E37" s="43" t="s">
        <v>88</v>
      </c>
      <c r="F37" s="43" t="s">
        <v>96</v>
      </c>
      <c r="G37" s="63" t="s">
        <v>103</v>
      </c>
      <c r="H37" s="45"/>
      <c r="I37" s="63"/>
    </row>
    <row r="38" spans="1:9">
      <c r="A38" s="65"/>
      <c r="B38" s="46"/>
      <c r="C38" s="46"/>
      <c r="D38" s="46"/>
      <c r="E38" s="43"/>
      <c r="F38" s="43"/>
      <c r="G38" s="43"/>
      <c r="H38" s="45"/>
      <c r="I38" s="64"/>
    </row>
    <row r="39" spans="1:9">
      <c r="A39" s="65"/>
      <c r="B39" s="46"/>
      <c r="C39" s="46"/>
      <c r="D39" s="46"/>
      <c r="E39" s="43"/>
      <c r="F39" s="43"/>
      <c r="G39" s="43"/>
      <c r="H39" s="45"/>
      <c r="I39" s="64"/>
    </row>
    <row r="40" spans="1:9">
      <c r="A40" s="65"/>
      <c r="B40" s="46"/>
      <c r="C40" s="46"/>
      <c r="D40" s="46"/>
      <c r="E40" s="43"/>
      <c r="F40" s="43"/>
      <c r="G40" s="43"/>
      <c r="H40" s="45"/>
      <c r="I40" s="64"/>
    </row>
    <row r="41" spans="1:9">
      <c r="A41" s="65"/>
      <c r="B41" s="46"/>
      <c r="C41" s="46"/>
      <c r="D41" s="46"/>
      <c r="E41" s="43"/>
      <c r="F41" s="43"/>
      <c r="G41" s="43"/>
      <c r="H41" s="45"/>
      <c r="I41" s="64"/>
    </row>
    <row r="42" spans="1:9">
      <c r="A42" s="65"/>
      <c r="B42" s="46"/>
      <c r="C42" s="46"/>
      <c r="D42" s="64"/>
      <c r="E42" s="43"/>
      <c r="F42" s="63"/>
      <c r="G42" s="63"/>
      <c r="H42" s="45"/>
      <c r="I42" s="64"/>
    </row>
    <row r="43" spans="1:9">
      <c r="A43" s="65"/>
      <c r="B43" s="65"/>
      <c r="C43" s="64"/>
      <c r="D43" s="64"/>
      <c r="E43" s="63"/>
      <c r="F43" s="63"/>
      <c r="G43" s="63"/>
      <c r="H43" s="45"/>
      <c r="I43" s="64"/>
    </row>
    <row r="44" spans="1:9">
      <c r="A44" s="65"/>
      <c r="B44" s="65"/>
      <c r="C44" s="64"/>
      <c r="D44" s="64"/>
      <c r="E44" s="63"/>
      <c r="F44" s="63"/>
      <c r="G44" s="63"/>
      <c r="H44" s="45"/>
      <c r="I44" s="64"/>
    </row>
    <row r="45" spans="1:9">
      <c r="A45" s="65"/>
      <c r="B45" s="65"/>
      <c r="C45" s="64"/>
      <c r="D45" s="64"/>
      <c r="E45" s="63"/>
      <c r="F45" s="63"/>
      <c r="G45" s="63"/>
      <c r="H45" s="45"/>
      <c r="I45" s="64"/>
    </row>
    <row r="46" spans="1:9">
      <c r="A46" s="65"/>
      <c r="B46" s="65"/>
      <c r="C46" s="64"/>
      <c r="D46" s="64"/>
      <c r="E46" s="63"/>
      <c r="F46" s="63"/>
      <c r="G46" s="63"/>
      <c r="H46" s="45"/>
      <c r="I46" s="64"/>
    </row>
    <row r="47" spans="1:9">
      <c r="A47" s="65"/>
      <c r="B47" s="65"/>
      <c r="C47" s="64"/>
      <c r="D47" s="64"/>
      <c r="E47" s="63"/>
      <c r="F47" s="63"/>
      <c r="G47" s="63"/>
      <c r="H47" s="45"/>
      <c r="I47" s="64"/>
    </row>
    <row r="48" spans="1:9">
      <c r="A48" s="65"/>
      <c r="B48" s="65"/>
      <c r="C48" s="64"/>
      <c r="D48" s="64"/>
      <c r="E48" s="63"/>
      <c r="F48" s="63"/>
      <c r="G48" s="63"/>
      <c r="H48" s="45"/>
      <c r="I48" s="64"/>
    </row>
    <row r="49" spans="1:9">
      <c r="A49" s="65"/>
      <c r="B49" s="65"/>
      <c r="C49" s="64"/>
      <c r="D49" s="64"/>
      <c r="E49" s="63"/>
      <c r="F49" s="63"/>
      <c r="G49" s="63"/>
      <c r="H49" s="45"/>
      <c r="I49" s="64"/>
    </row>
    <row r="50" spans="1:9">
      <c r="A50" s="65"/>
      <c r="B50" s="65"/>
      <c r="C50" s="64"/>
      <c r="D50" s="64"/>
      <c r="E50" s="63"/>
      <c r="F50" s="63"/>
      <c r="G50" s="63"/>
      <c r="H50" s="45"/>
      <c r="I50" s="64"/>
    </row>
    <row r="51" spans="1:9">
      <c r="A51" s="65"/>
      <c r="B51" s="65"/>
      <c r="C51" s="64"/>
      <c r="D51" s="64"/>
      <c r="E51" s="63"/>
      <c r="F51" s="63"/>
      <c r="G51" s="63"/>
      <c r="H51" s="45"/>
      <c r="I51" s="64"/>
    </row>
    <row r="52" spans="1:9">
      <c r="A52" s="65"/>
      <c r="B52" s="65"/>
      <c r="C52" s="64"/>
      <c r="D52" s="64"/>
      <c r="E52" s="63"/>
      <c r="F52" s="63"/>
      <c r="G52" s="63"/>
      <c r="H52" s="45"/>
      <c r="I52" s="64"/>
    </row>
    <row r="53" spans="1:9">
      <c r="A53" s="65"/>
      <c r="B53" s="65"/>
      <c r="C53" s="64"/>
      <c r="D53" s="64"/>
      <c r="E53" s="63"/>
      <c r="F53" s="63"/>
      <c r="G53" s="63"/>
      <c r="H53" s="45"/>
      <c r="I53" s="64"/>
    </row>
    <row r="54" spans="1:9">
      <c r="A54" s="65"/>
      <c r="B54" s="65"/>
      <c r="C54" s="64"/>
      <c r="D54" s="64"/>
      <c r="E54" s="63"/>
      <c r="F54" s="63"/>
      <c r="G54" s="63"/>
      <c r="H54" s="45"/>
      <c r="I54" s="64"/>
    </row>
    <row r="55" spans="1:9">
      <c r="A55" s="65"/>
      <c r="B55" s="65"/>
      <c r="C55" s="64"/>
      <c r="D55" s="64"/>
      <c r="E55" s="63"/>
      <c r="F55" s="63"/>
      <c r="G55" s="63"/>
      <c r="H55" s="45"/>
      <c r="I55" s="64"/>
    </row>
    <row r="56" spans="1:9">
      <c r="A56" s="65"/>
      <c r="B56" s="65"/>
      <c r="C56" s="64"/>
      <c r="D56" s="64"/>
      <c r="E56" s="63"/>
      <c r="F56" s="63"/>
      <c r="G56" s="63"/>
      <c r="H56" s="45"/>
      <c r="I56" s="64"/>
    </row>
    <row r="57" spans="1:9">
      <c r="A57" s="65"/>
      <c r="B57" s="65"/>
      <c r="C57" s="64"/>
      <c r="D57" s="64"/>
      <c r="E57" s="63"/>
      <c r="F57" s="63"/>
      <c r="G57" s="63"/>
      <c r="H57" s="45"/>
      <c r="I57" s="64"/>
    </row>
    <row r="58" spans="1:9">
      <c r="A58" s="65"/>
      <c r="B58" s="65"/>
      <c r="C58" s="64"/>
      <c r="D58" s="64"/>
      <c r="E58" s="63"/>
      <c r="F58" s="63"/>
      <c r="G58" s="63"/>
      <c r="H58" s="45"/>
      <c r="I58" s="64"/>
    </row>
    <row r="59" spans="1:9">
      <c r="A59" s="65"/>
      <c r="B59" s="65"/>
      <c r="C59" s="64"/>
      <c r="D59" s="64"/>
      <c r="E59" s="63"/>
      <c r="F59" s="63"/>
      <c r="G59" s="63"/>
      <c r="H59" s="45"/>
      <c r="I59" s="64"/>
    </row>
    <row r="60" spans="1:9">
      <c r="A60" s="65"/>
      <c r="B60" s="65"/>
      <c r="C60" s="64"/>
      <c r="D60" s="64"/>
      <c r="E60" s="63"/>
      <c r="F60" s="63"/>
      <c r="G60" s="63"/>
      <c r="H60" s="45"/>
      <c r="I60" s="64"/>
    </row>
    <row r="61" spans="1:9">
      <c r="A61" s="65"/>
      <c r="B61" s="65"/>
      <c r="C61" s="64"/>
      <c r="D61" s="64"/>
      <c r="E61" s="63"/>
      <c r="F61" s="63"/>
      <c r="G61" s="63"/>
      <c r="H61" s="45"/>
      <c r="I61" s="64"/>
    </row>
    <row r="62" spans="1:9">
      <c r="A62" s="65"/>
      <c r="B62" s="65"/>
      <c r="C62" s="64"/>
      <c r="D62" s="64"/>
      <c r="E62" s="63"/>
      <c r="F62" s="63"/>
      <c r="G62" s="63"/>
      <c r="H62" s="45"/>
      <c r="I62" s="64"/>
    </row>
    <row r="63" spans="1:9">
      <c r="A63" s="65"/>
      <c r="B63" s="65"/>
      <c r="C63" s="64"/>
      <c r="D63" s="64"/>
      <c r="E63" s="63"/>
      <c r="F63" s="63"/>
      <c r="G63" s="63"/>
      <c r="H63" s="45"/>
      <c r="I63" s="64"/>
    </row>
    <row r="64" spans="1:9">
      <c r="A64" s="65"/>
      <c r="B64" s="65"/>
      <c r="C64" s="64"/>
      <c r="D64" s="64"/>
      <c r="E64" s="63"/>
      <c r="F64" s="63"/>
      <c r="G64" s="63"/>
      <c r="H64" s="45"/>
      <c r="I64" s="64"/>
    </row>
    <row r="65" spans="1:9">
      <c r="A65" s="65"/>
      <c r="B65" s="65"/>
      <c r="C65" s="64"/>
      <c r="D65" s="64"/>
      <c r="E65" s="63"/>
      <c r="F65" s="63"/>
      <c r="G65" s="63"/>
      <c r="H65" s="45"/>
      <c r="I65" s="64"/>
    </row>
    <row r="66" spans="1:9">
      <c r="A66" s="65"/>
      <c r="B66" s="65"/>
      <c r="C66" s="64"/>
      <c r="D66" s="64"/>
      <c r="E66" s="63"/>
      <c r="F66" s="63"/>
      <c r="G66" s="63"/>
      <c r="H66" s="45"/>
      <c r="I66" s="64"/>
    </row>
    <row r="67" spans="1:9">
      <c r="A67" s="65"/>
      <c r="B67" s="65"/>
      <c r="C67" s="64"/>
      <c r="D67" s="64"/>
      <c r="E67" s="63"/>
      <c r="F67" s="63"/>
      <c r="G67" s="63"/>
      <c r="H67" s="45"/>
      <c r="I67" s="64"/>
    </row>
    <row r="68" spans="1:9">
      <c r="A68" s="65"/>
      <c r="B68" s="65"/>
      <c r="C68" s="64"/>
      <c r="D68" s="64"/>
      <c r="E68" s="63"/>
      <c r="F68" s="63"/>
      <c r="G68" s="63"/>
      <c r="H68" s="45"/>
      <c r="I68" s="64"/>
    </row>
    <row r="69" spans="1:9">
      <c r="A69" s="65"/>
      <c r="B69" s="65"/>
      <c r="C69" s="64"/>
      <c r="D69" s="64"/>
      <c r="E69" s="63"/>
      <c r="F69" s="63"/>
      <c r="G69" s="63"/>
      <c r="H69" s="45"/>
      <c r="I69" s="64"/>
    </row>
    <row r="70" spans="1:9">
      <c r="A70" s="65"/>
      <c r="B70" s="65"/>
      <c r="C70" s="64"/>
      <c r="D70" s="64"/>
      <c r="E70" s="63"/>
      <c r="F70" s="63"/>
      <c r="G70" s="63"/>
      <c r="H70" s="45"/>
      <c r="I70" s="64"/>
    </row>
    <row r="71" spans="1:9">
      <c r="A71" s="65"/>
      <c r="B71" s="65"/>
      <c r="C71" s="64"/>
      <c r="D71" s="64"/>
      <c r="E71" s="63"/>
      <c r="F71" s="63"/>
      <c r="G71" s="63"/>
      <c r="H71" s="45"/>
      <c r="I71" s="64"/>
    </row>
    <row r="72" spans="1:9">
      <c r="A72" s="65"/>
      <c r="B72" s="65"/>
      <c r="C72" s="64"/>
      <c r="D72" s="64"/>
      <c r="E72" s="63"/>
      <c r="F72" s="63"/>
      <c r="G72" s="63"/>
      <c r="H72" s="45"/>
      <c r="I72" s="64"/>
    </row>
    <row r="73" spans="1:9">
      <c r="A73" s="65"/>
      <c r="B73" s="65"/>
      <c r="C73" s="64"/>
      <c r="D73" s="64"/>
      <c r="E73" s="63"/>
      <c r="F73" s="63"/>
      <c r="G73" s="63"/>
      <c r="H73" s="45"/>
      <c r="I73" s="64"/>
    </row>
  </sheetData>
  <mergeCells count="32">
    <mergeCell ref="A1:F1"/>
    <mergeCell ref="A20:A25"/>
    <mergeCell ref="A26:A28"/>
    <mergeCell ref="A29:A31"/>
    <mergeCell ref="A32:A34"/>
    <mergeCell ref="A35:A37"/>
    <mergeCell ref="B9:B19"/>
    <mergeCell ref="B20:B25"/>
    <mergeCell ref="B26:B28"/>
    <mergeCell ref="B29:B31"/>
    <mergeCell ref="B32:B34"/>
    <mergeCell ref="B35:B37"/>
    <mergeCell ref="C9:C16"/>
    <mergeCell ref="C17:C18"/>
    <mergeCell ref="C20:C25"/>
    <mergeCell ref="C26:C28"/>
    <mergeCell ref="C29:C31"/>
    <mergeCell ref="C32:C34"/>
    <mergeCell ref="C35:C37"/>
    <mergeCell ref="D9:D15"/>
    <mergeCell ref="D20:D25"/>
    <mergeCell ref="D26:D28"/>
    <mergeCell ref="D29:D31"/>
    <mergeCell ref="D32:D34"/>
    <mergeCell ref="D35:D37"/>
    <mergeCell ref="E20:E25"/>
    <mergeCell ref="H20:H25"/>
    <mergeCell ref="H26:H28"/>
    <mergeCell ref="H29:H31"/>
    <mergeCell ref="J20:J25"/>
    <mergeCell ref="J26:J28"/>
    <mergeCell ref="J29:J31"/>
  </mergeCells>
  <conditionalFormatting sqref="H9">
    <cfRule type="cellIs" dxfId="0" priority="6" stopIfTrue="1" operator="equal">
      <formula>"Pass"</formula>
    </cfRule>
    <cfRule type="cellIs" dxfId="1" priority="5" stopIfTrue="1" operator="equal">
      <formula>"Fail"</formula>
    </cfRule>
    <cfRule type="cellIs" dxfId="2" priority="4" stopIfTrue="1" operator="equal">
      <formula>"N/A"</formula>
    </cfRule>
  </conditionalFormatting>
  <conditionalFormatting sqref="H11">
    <cfRule type="cellIs" dxfId="0" priority="3" stopIfTrue="1" operator="equal">
      <formula>"Pass"</formula>
    </cfRule>
    <cfRule type="cellIs" dxfId="1" priority="2" stopIfTrue="1" operator="equal">
      <formula>"Fail"</formula>
    </cfRule>
    <cfRule type="cellIs" dxfId="2" priority="1" stopIfTrue="1" operator="equal">
      <formula>"N/A"</formula>
    </cfRule>
  </conditionalFormatting>
  <conditionalFormatting sqref="H32">
    <cfRule type="cellIs" dxfId="2" priority="130" stopIfTrue="1" operator="equal">
      <formula>"N/A"</formula>
    </cfRule>
    <cfRule type="cellIs" dxfId="1" priority="150" stopIfTrue="1" operator="equal">
      <formula>"Fail"</formula>
    </cfRule>
    <cfRule type="cellIs" dxfId="0" priority="170" stopIfTrue="1" operator="equal">
      <formula>"Pass"</formula>
    </cfRule>
  </conditionalFormatting>
  <conditionalFormatting sqref="H33">
    <cfRule type="cellIs" dxfId="2" priority="128" stopIfTrue="1" operator="equal">
      <formula>"N/A"</formula>
    </cfRule>
    <cfRule type="cellIs" dxfId="1" priority="148" stopIfTrue="1" operator="equal">
      <formula>"Fail"</formula>
    </cfRule>
    <cfRule type="cellIs" dxfId="0" priority="168" stopIfTrue="1" operator="equal">
      <formula>"Pass"</formula>
    </cfRule>
  </conditionalFormatting>
  <conditionalFormatting sqref="H34">
    <cfRule type="cellIs" dxfId="2" priority="127" stopIfTrue="1" operator="equal">
      <formula>"N/A"</formula>
    </cfRule>
    <cfRule type="cellIs" dxfId="1" priority="147" stopIfTrue="1" operator="equal">
      <formula>"Fail"</formula>
    </cfRule>
    <cfRule type="cellIs" dxfId="0" priority="167" stopIfTrue="1" operator="equal">
      <formula>"Pass"</formula>
    </cfRule>
  </conditionalFormatting>
  <conditionalFormatting sqref="H35">
    <cfRule type="cellIs" dxfId="2" priority="126" stopIfTrue="1" operator="equal">
      <formula>"N/A"</formula>
    </cfRule>
    <cfRule type="cellIs" dxfId="1" priority="146" stopIfTrue="1" operator="equal">
      <formula>"Fail"</formula>
    </cfRule>
    <cfRule type="cellIs" dxfId="0" priority="166" stopIfTrue="1" operator="equal">
      <formula>"Pass"</formula>
    </cfRule>
  </conditionalFormatting>
  <conditionalFormatting sqref="H36">
    <cfRule type="cellIs" dxfId="2" priority="125" stopIfTrue="1" operator="equal">
      <formula>"N/A"</formula>
    </cfRule>
    <cfRule type="cellIs" dxfId="1" priority="145" stopIfTrue="1" operator="equal">
      <formula>"Fail"</formula>
    </cfRule>
    <cfRule type="cellIs" dxfId="0" priority="165" stopIfTrue="1" operator="equal">
      <formula>"Pass"</formula>
    </cfRule>
  </conditionalFormatting>
  <conditionalFormatting sqref="H37">
    <cfRule type="cellIs" dxfId="2" priority="124" stopIfTrue="1" operator="equal">
      <formula>"N/A"</formula>
    </cfRule>
    <cfRule type="cellIs" dxfId="1" priority="144" stopIfTrue="1" operator="equal">
      <formula>"Fail"</formula>
    </cfRule>
    <cfRule type="cellIs" dxfId="0" priority="164" stopIfTrue="1" operator="equal">
      <formula>"Pass"</formula>
    </cfRule>
  </conditionalFormatting>
  <conditionalFormatting sqref="H38">
    <cfRule type="cellIs" dxfId="2" priority="123" stopIfTrue="1" operator="equal">
      <formula>"N/A"</formula>
    </cfRule>
    <cfRule type="cellIs" dxfId="1" priority="143" stopIfTrue="1" operator="equal">
      <formula>"Fail"</formula>
    </cfRule>
    <cfRule type="cellIs" dxfId="0" priority="163" stopIfTrue="1" operator="equal">
      <formula>"Pass"</formula>
    </cfRule>
  </conditionalFormatting>
  <conditionalFormatting sqref="H39">
    <cfRule type="cellIs" dxfId="2" priority="122" stopIfTrue="1" operator="equal">
      <formula>"N/A"</formula>
    </cfRule>
    <cfRule type="cellIs" dxfId="1" priority="142" stopIfTrue="1" operator="equal">
      <formula>"Fail"</formula>
    </cfRule>
    <cfRule type="cellIs" dxfId="0" priority="162" stopIfTrue="1" operator="equal">
      <formula>"Pass"</formula>
    </cfRule>
  </conditionalFormatting>
  <conditionalFormatting sqref="H40">
    <cfRule type="cellIs" dxfId="2" priority="121" stopIfTrue="1" operator="equal">
      <formula>"N/A"</formula>
    </cfRule>
    <cfRule type="cellIs" dxfId="1" priority="141" stopIfTrue="1" operator="equal">
      <formula>"Fail"</formula>
    </cfRule>
    <cfRule type="cellIs" dxfId="0" priority="161" stopIfTrue="1" operator="equal">
      <formula>"Pass"</formula>
    </cfRule>
  </conditionalFormatting>
  <conditionalFormatting sqref="H41">
    <cfRule type="cellIs" dxfId="2" priority="54" stopIfTrue="1" operator="equal">
      <formula>"N/A"</formula>
    </cfRule>
    <cfRule type="cellIs" dxfId="1" priority="87" stopIfTrue="1" operator="equal">
      <formula>"Fail"</formula>
    </cfRule>
    <cfRule type="cellIs" dxfId="0" priority="120" stopIfTrue="1" operator="equal">
      <formula>"Pass"</formula>
    </cfRule>
  </conditionalFormatting>
  <conditionalFormatting sqref="H42">
    <cfRule type="cellIs" dxfId="2" priority="53" stopIfTrue="1" operator="equal">
      <formula>"N/A"</formula>
    </cfRule>
    <cfRule type="cellIs" dxfId="1" priority="86" stopIfTrue="1" operator="equal">
      <formula>"Fail"</formula>
    </cfRule>
    <cfRule type="cellIs" dxfId="0" priority="119" stopIfTrue="1" operator="equal">
      <formula>"Pass"</formula>
    </cfRule>
  </conditionalFormatting>
  <conditionalFormatting sqref="H43">
    <cfRule type="cellIs" dxfId="2" priority="52" stopIfTrue="1" operator="equal">
      <formula>"N/A"</formula>
    </cfRule>
    <cfRule type="cellIs" dxfId="1" priority="85" stopIfTrue="1" operator="equal">
      <formula>"Fail"</formula>
    </cfRule>
    <cfRule type="cellIs" dxfId="0" priority="118" stopIfTrue="1" operator="equal">
      <formula>"Pass"</formula>
    </cfRule>
  </conditionalFormatting>
  <conditionalFormatting sqref="H44">
    <cfRule type="cellIs" dxfId="2" priority="51" stopIfTrue="1" operator="equal">
      <formula>"N/A"</formula>
    </cfRule>
    <cfRule type="cellIs" dxfId="1" priority="84" stopIfTrue="1" operator="equal">
      <formula>"Fail"</formula>
    </cfRule>
    <cfRule type="cellIs" dxfId="0" priority="117" stopIfTrue="1" operator="equal">
      <formula>"Pass"</formula>
    </cfRule>
  </conditionalFormatting>
  <conditionalFormatting sqref="H45">
    <cfRule type="cellIs" dxfId="2" priority="50" stopIfTrue="1" operator="equal">
      <formula>"N/A"</formula>
    </cfRule>
    <cfRule type="cellIs" dxfId="1" priority="83" stopIfTrue="1" operator="equal">
      <formula>"Fail"</formula>
    </cfRule>
    <cfRule type="cellIs" dxfId="0" priority="116" stopIfTrue="1" operator="equal">
      <formula>"Pass"</formula>
    </cfRule>
  </conditionalFormatting>
  <conditionalFormatting sqref="H46">
    <cfRule type="cellIs" dxfId="2" priority="49" stopIfTrue="1" operator="equal">
      <formula>"N/A"</formula>
    </cfRule>
    <cfRule type="cellIs" dxfId="1" priority="82" stopIfTrue="1" operator="equal">
      <formula>"Fail"</formula>
    </cfRule>
    <cfRule type="cellIs" dxfId="0" priority="115" stopIfTrue="1" operator="equal">
      <formula>"Pass"</formula>
    </cfRule>
  </conditionalFormatting>
  <conditionalFormatting sqref="H47">
    <cfRule type="cellIs" dxfId="2" priority="48" stopIfTrue="1" operator="equal">
      <formula>"N/A"</formula>
    </cfRule>
    <cfRule type="cellIs" dxfId="1" priority="81" stopIfTrue="1" operator="equal">
      <formula>"Fail"</formula>
    </cfRule>
    <cfRule type="cellIs" dxfId="0" priority="114" stopIfTrue="1" operator="equal">
      <formula>"Pass"</formula>
    </cfRule>
  </conditionalFormatting>
  <conditionalFormatting sqref="H48">
    <cfRule type="cellIs" dxfId="2" priority="47" stopIfTrue="1" operator="equal">
      <formula>"N/A"</formula>
    </cfRule>
    <cfRule type="cellIs" dxfId="1" priority="80" stopIfTrue="1" operator="equal">
      <formula>"Fail"</formula>
    </cfRule>
    <cfRule type="cellIs" dxfId="0" priority="113" stopIfTrue="1" operator="equal">
      <formula>"Pass"</formula>
    </cfRule>
  </conditionalFormatting>
  <conditionalFormatting sqref="H49">
    <cfRule type="cellIs" dxfId="2" priority="46" stopIfTrue="1" operator="equal">
      <formula>"N/A"</formula>
    </cfRule>
    <cfRule type="cellIs" dxfId="1" priority="79" stopIfTrue="1" operator="equal">
      <formula>"Fail"</formula>
    </cfRule>
    <cfRule type="cellIs" dxfId="0" priority="112" stopIfTrue="1" operator="equal">
      <formula>"Pass"</formula>
    </cfRule>
  </conditionalFormatting>
  <conditionalFormatting sqref="H50">
    <cfRule type="cellIs" dxfId="2" priority="45" stopIfTrue="1" operator="equal">
      <formula>"N/A"</formula>
    </cfRule>
    <cfRule type="cellIs" dxfId="1" priority="78" stopIfTrue="1" operator="equal">
      <formula>"Fail"</formula>
    </cfRule>
    <cfRule type="cellIs" dxfId="0" priority="111" stopIfTrue="1" operator="equal">
      <formula>"Pass"</formula>
    </cfRule>
  </conditionalFormatting>
  <conditionalFormatting sqref="H51">
    <cfRule type="cellIs" dxfId="2" priority="44" stopIfTrue="1" operator="equal">
      <formula>"N/A"</formula>
    </cfRule>
    <cfRule type="cellIs" dxfId="1" priority="77" stopIfTrue="1" operator="equal">
      <formula>"Fail"</formula>
    </cfRule>
    <cfRule type="cellIs" dxfId="0" priority="110" stopIfTrue="1" operator="equal">
      <formula>"Pass"</formula>
    </cfRule>
  </conditionalFormatting>
  <conditionalFormatting sqref="H52">
    <cfRule type="cellIs" dxfId="2" priority="43" stopIfTrue="1" operator="equal">
      <formula>"N/A"</formula>
    </cfRule>
    <cfRule type="cellIs" dxfId="1" priority="76" stopIfTrue="1" operator="equal">
      <formula>"Fail"</formula>
    </cfRule>
    <cfRule type="cellIs" dxfId="0" priority="109" stopIfTrue="1" operator="equal">
      <formula>"Pass"</formula>
    </cfRule>
  </conditionalFormatting>
  <conditionalFormatting sqref="H53">
    <cfRule type="cellIs" dxfId="2" priority="42" stopIfTrue="1" operator="equal">
      <formula>"N/A"</formula>
    </cfRule>
    <cfRule type="cellIs" dxfId="1" priority="75" stopIfTrue="1" operator="equal">
      <formula>"Fail"</formula>
    </cfRule>
    <cfRule type="cellIs" dxfId="0" priority="108" stopIfTrue="1" operator="equal">
      <formula>"Pass"</formula>
    </cfRule>
  </conditionalFormatting>
  <conditionalFormatting sqref="H54">
    <cfRule type="cellIs" dxfId="2" priority="41" stopIfTrue="1" operator="equal">
      <formula>"N/A"</formula>
    </cfRule>
    <cfRule type="cellIs" dxfId="1" priority="74" stopIfTrue="1" operator="equal">
      <formula>"Fail"</formula>
    </cfRule>
    <cfRule type="cellIs" dxfId="0" priority="107" stopIfTrue="1" operator="equal">
      <formula>"Pass"</formula>
    </cfRule>
  </conditionalFormatting>
  <conditionalFormatting sqref="H55">
    <cfRule type="cellIs" dxfId="2" priority="40" stopIfTrue="1" operator="equal">
      <formula>"N/A"</formula>
    </cfRule>
    <cfRule type="cellIs" dxfId="1" priority="73" stopIfTrue="1" operator="equal">
      <formula>"Fail"</formula>
    </cfRule>
    <cfRule type="cellIs" dxfId="0" priority="106" stopIfTrue="1" operator="equal">
      <formula>"Pass"</formula>
    </cfRule>
  </conditionalFormatting>
  <conditionalFormatting sqref="H56">
    <cfRule type="cellIs" dxfId="2" priority="39" stopIfTrue="1" operator="equal">
      <formula>"N/A"</formula>
    </cfRule>
    <cfRule type="cellIs" dxfId="1" priority="72" stopIfTrue="1" operator="equal">
      <formula>"Fail"</formula>
    </cfRule>
    <cfRule type="cellIs" dxfId="0" priority="105" stopIfTrue="1" operator="equal">
      <formula>"Pass"</formula>
    </cfRule>
  </conditionalFormatting>
  <conditionalFormatting sqref="H57">
    <cfRule type="cellIs" dxfId="2" priority="38" stopIfTrue="1" operator="equal">
      <formula>"N/A"</formula>
    </cfRule>
    <cfRule type="cellIs" dxfId="1" priority="71" stopIfTrue="1" operator="equal">
      <formula>"Fail"</formula>
    </cfRule>
    <cfRule type="cellIs" dxfId="0" priority="104" stopIfTrue="1" operator="equal">
      <formula>"Pass"</formula>
    </cfRule>
  </conditionalFormatting>
  <conditionalFormatting sqref="H58">
    <cfRule type="cellIs" dxfId="2" priority="37" stopIfTrue="1" operator="equal">
      <formula>"N/A"</formula>
    </cfRule>
    <cfRule type="cellIs" dxfId="1" priority="70" stopIfTrue="1" operator="equal">
      <formula>"Fail"</formula>
    </cfRule>
    <cfRule type="cellIs" dxfId="0" priority="103" stopIfTrue="1" operator="equal">
      <formula>"Pass"</formula>
    </cfRule>
  </conditionalFormatting>
  <conditionalFormatting sqref="H59">
    <cfRule type="cellIs" dxfId="2" priority="36" stopIfTrue="1" operator="equal">
      <formula>"N/A"</formula>
    </cfRule>
    <cfRule type="cellIs" dxfId="1" priority="69" stopIfTrue="1" operator="equal">
      <formula>"Fail"</formula>
    </cfRule>
    <cfRule type="cellIs" dxfId="0" priority="102" stopIfTrue="1" operator="equal">
      <formula>"Pass"</formula>
    </cfRule>
  </conditionalFormatting>
  <conditionalFormatting sqref="H60">
    <cfRule type="cellIs" dxfId="2" priority="35" stopIfTrue="1" operator="equal">
      <formula>"N/A"</formula>
    </cfRule>
    <cfRule type="cellIs" dxfId="1" priority="68" stopIfTrue="1" operator="equal">
      <formula>"Fail"</formula>
    </cfRule>
    <cfRule type="cellIs" dxfId="0" priority="101" stopIfTrue="1" operator="equal">
      <formula>"Pass"</formula>
    </cfRule>
  </conditionalFormatting>
  <conditionalFormatting sqref="H61">
    <cfRule type="cellIs" dxfId="2" priority="34" stopIfTrue="1" operator="equal">
      <formula>"N/A"</formula>
    </cfRule>
    <cfRule type="cellIs" dxfId="1" priority="67" stopIfTrue="1" operator="equal">
      <formula>"Fail"</formula>
    </cfRule>
    <cfRule type="cellIs" dxfId="0" priority="100" stopIfTrue="1" operator="equal">
      <formula>"Pass"</formula>
    </cfRule>
  </conditionalFormatting>
  <conditionalFormatting sqref="H62">
    <cfRule type="cellIs" dxfId="2" priority="33" stopIfTrue="1" operator="equal">
      <formula>"N/A"</formula>
    </cfRule>
    <cfRule type="cellIs" dxfId="1" priority="66" stopIfTrue="1" operator="equal">
      <formula>"Fail"</formula>
    </cfRule>
    <cfRule type="cellIs" dxfId="0" priority="99" stopIfTrue="1" operator="equal">
      <formula>"Pass"</formula>
    </cfRule>
  </conditionalFormatting>
  <conditionalFormatting sqref="H63">
    <cfRule type="cellIs" dxfId="2" priority="32" stopIfTrue="1" operator="equal">
      <formula>"N/A"</formula>
    </cfRule>
    <cfRule type="cellIs" dxfId="1" priority="65" stopIfTrue="1" operator="equal">
      <formula>"Fail"</formula>
    </cfRule>
    <cfRule type="cellIs" dxfId="0" priority="98" stopIfTrue="1" operator="equal">
      <formula>"Pass"</formula>
    </cfRule>
  </conditionalFormatting>
  <conditionalFormatting sqref="H64">
    <cfRule type="cellIs" dxfId="2" priority="31" stopIfTrue="1" operator="equal">
      <formula>"N/A"</formula>
    </cfRule>
    <cfRule type="cellIs" dxfId="1" priority="64" stopIfTrue="1" operator="equal">
      <formula>"Fail"</formula>
    </cfRule>
    <cfRule type="cellIs" dxfId="0" priority="97" stopIfTrue="1" operator="equal">
      <formula>"Pass"</formula>
    </cfRule>
  </conditionalFormatting>
  <conditionalFormatting sqref="H65">
    <cfRule type="cellIs" dxfId="2" priority="30" stopIfTrue="1" operator="equal">
      <formula>"N/A"</formula>
    </cfRule>
    <cfRule type="cellIs" dxfId="1" priority="63" stopIfTrue="1" operator="equal">
      <formula>"Fail"</formula>
    </cfRule>
    <cfRule type="cellIs" dxfId="0" priority="96" stopIfTrue="1" operator="equal">
      <formula>"Pass"</formula>
    </cfRule>
  </conditionalFormatting>
  <conditionalFormatting sqref="H66">
    <cfRule type="cellIs" dxfId="2" priority="29" stopIfTrue="1" operator="equal">
      <formula>"N/A"</formula>
    </cfRule>
    <cfRule type="cellIs" dxfId="1" priority="62" stopIfTrue="1" operator="equal">
      <formula>"Fail"</formula>
    </cfRule>
    <cfRule type="cellIs" dxfId="0" priority="95" stopIfTrue="1" operator="equal">
      <formula>"Pass"</formula>
    </cfRule>
  </conditionalFormatting>
  <conditionalFormatting sqref="H67">
    <cfRule type="cellIs" dxfId="2" priority="28" stopIfTrue="1" operator="equal">
      <formula>"N/A"</formula>
    </cfRule>
    <cfRule type="cellIs" dxfId="1" priority="61" stopIfTrue="1" operator="equal">
      <formula>"Fail"</formula>
    </cfRule>
    <cfRule type="cellIs" dxfId="0" priority="94" stopIfTrue="1" operator="equal">
      <formula>"Pass"</formula>
    </cfRule>
  </conditionalFormatting>
  <conditionalFormatting sqref="H68">
    <cfRule type="cellIs" dxfId="2" priority="27" stopIfTrue="1" operator="equal">
      <formula>"N/A"</formula>
    </cfRule>
    <cfRule type="cellIs" dxfId="1" priority="60" stopIfTrue="1" operator="equal">
      <formula>"Fail"</formula>
    </cfRule>
    <cfRule type="cellIs" dxfId="0" priority="93" stopIfTrue="1" operator="equal">
      <formula>"Pass"</formula>
    </cfRule>
  </conditionalFormatting>
  <conditionalFormatting sqref="H69">
    <cfRule type="cellIs" dxfId="2" priority="26" stopIfTrue="1" operator="equal">
      <formula>"N/A"</formula>
    </cfRule>
    <cfRule type="cellIs" dxfId="1" priority="59" stopIfTrue="1" operator="equal">
      <formula>"Fail"</formula>
    </cfRule>
    <cfRule type="cellIs" dxfId="0" priority="92" stopIfTrue="1" operator="equal">
      <formula>"Pass"</formula>
    </cfRule>
  </conditionalFormatting>
  <conditionalFormatting sqref="H70">
    <cfRule type="cellIs" dxfId="2" priority="25" stopIfTrue="1" operator="equal">
      <formula>"N/A"</formula>
    </cfRule>
    <cfRule type="cellIs" dxfId="1" priority="58" stopIfTrue="1" operator="equal">
      <formula>"Fail"</formula>
    </cfRule>
    <cfRule type="cellIs" dxfId="0" priority="91" stopIfTrue="1" operator="equal">
      <formula>"Pass"</formula>
    </cfRule>
  </conditionalFormatting>
  <conditionalFormatting sqref="H71">
    <cfRule type="cellIs" dxfId="2" priority="24" stopIfTrue="1" operator="equal">
      <formula>"N/A"</formula>
    </cfRule>
    <cfRule type="cellIs" dxfId="1" priority="57" stopIfTrue="1" operator="equal">
      <formula>"Fail"</formula>
    </cfRule>
    <cfRule type="cellIs" dxfId="0" priority="90" stopIfTrue="1" operator="equal">
      <formula>"Pass"</formula>
    </cfRule>
  </conditionalFormatting>
  <conditionalFormatting sqref="H72">
    <cfRule type="cellIs" dxfId="2" priority="23" stopIfTrue="1" operator="equal">
      <formula>"N/A"</formula>
    </cfRule>
    <cfRule type="cellIs" dxfId="1" priority="56" stopIfTrue="1" operator="equal">
      <formula>"Fail"</formula>
    </cfRule>
    <cfRule type="cellIs" dxfId="0" priority="89" stopIfTrue="1" operator="equal">
      <formula>"Pass"</formula>
    </cfRule>
  </conditionalFormatting>
  <conditionalFormatting sqref="H73">
    <cfRule type="cellIs" dxfId="2" priority="22" stopIfTrue="1" operator="equal">
      <formula>"N/A"</formula>
    </cfRule>
    <cfRule type="cellIs" dxfId="1" priority="55" stopIfTrue="1" operator="equal">
      <formula>"Fail"</formula>
    </cfRule>
    <cfRule type="cellIs" dxfId="0" priority="88" stopIfTrue="1" operator="equal">
      <formula>"Pass"</formula>
    </cfRule>
  </conditionalFormatting>
  <conditionalFormatting sqref="H12:H18 H20">
    <cfRule type="cellIs" dxfId="2" priority="7" stopIfTrue="1" operator="equal">
      <formula>"N/A"</formula>
    </cfRule>
    <cfRule type="cellIs" dxfId="1" priority="8" stopIfTrue="1" operator="equal">
      <formula>"Fail"</formula>
    </cfRule>
    <cfRule type="cellIs" dxfId="0" priority="9" stopIfTrue="1" operator="equal">
      <formula>"Pass"</formula>
    </cfRule>
  </conditionalFormatting>
  <dataValidations count="1">
    <dataValidation type="list" allowBlank="1" showInputMessage="1" showErrorMessage="1" sqref="H9:H73">
      <formula1>$G$2:$G$4</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89"/>
  <sheetViews>
    <sheetView workbookViewId="0">
      <selection activeCell="K30" sqref="K30"/>
    </sheetView>
  </sheetViews>
  <sheetFormatPr defaultColWidth="9" defaultRowHeight="13.5"/>
  <cols>
    <col min="1" max="1" width="15" customWidth="1"/>
  </cols>
  <sheetData>
    <row r="1" ht="14.25" spans="1:9">
      <c r="A1" s="6"/>
      <c r="B1" s="6"/>
      <c r="C1" s="7"/>
      <c r="D1" s="7"/>
      <c r="E1" s="7"/>
      <c r="F1" s="7"/>
      <c r="G1" s="7"/>
      <c r="H1" s="7"/>
      <c r="I1" s="6"/>
    </row>
    <row r="2" ht="14.25" spans="1:9">
      <c r="A2" s="8"/>
      <c r="B2" s="6"/>
      <c r="C2" s="7"/>
      <c r="D2" s="7"/>
      <c r="E2" s="7"/>
      <c r="F2" s="7"/>
      <c r="G2" s="7"/>
      <c r="H2" s="7"/>
      <c r="I2" s="6"/>
    </row>
    <row r="3" ht="14.25" spans="1:9">
      <c r="B3" s="6"/>
      <c r="C3" s="7"/>
      <c r="D3" s="7"/>
      <c r="E3" s="7"/>
      <c r="F3" s="7"/>
      <c r="G3" s="7"/>
      <c r="H3" s="7"/>
      <c r="I3" s="6"/>
    </row>
    <row r="41" ht="14.25" spans="1:1">
      <c r="A41" s="8"/>
    </row>
    <row r="70" ht="14.25" spans="1:1">
      <c r="A70" s="9"/>
    </row>
    <row r="81" spans="6:12">
      <c r="F81" s="10"/>
      <c r="G81" s="10"/>
      <c r="H81" s="10"/>
      <c r="I81" s="10"/>
      <c r="J81" s="10"/>
      <c r="K81" s="10"/>
    </row>
    <row r="82" spans="6:12">
      <c r="F82" s="10"/>
      <c r="G82" s="10"/>
      <c r="H82" s="10"/>
      <c r="I82" s="10"/>
      <c r="J82" s="10"/>
      <c r="K82" s="10"/>
    </row>
    <row r="83" spans="6:12">
      <c r="F83" s="10"/>
      <c r="G83" s="10"/>
      <c r="H83" s="10"/>
      <c r="I83" s="10"/>
      <c r="J83" s="10"/>
      <c r="K83" s="10"/>
    </row>
    <row r="91" spans="6:12">
      <c r="H91" s="10"/>
      <c r="I91" s="10"/>
      <c r="J91" s="10"/>
      <c r="K91" s="10"/>
      <c r="L91" s="10"/>
    </row>
    <row r="92" spans="6:12">
      <c r="H92" s="10"/>
      <c r="I92" s="10"/>
      <c r="J92" s="10"/>
      <c r="K92" s="10"/>
      <c r="L92" s="10"/>
    </row>
    <row r="93" spans="6:12">
      <c r="H93" s="10"/>
      <c r="I93" s="10"/>
      <c r="J93" s="10"/>
      <c r="K93" s="10"/>
      <c r="L93" s="10"/>
    </row>
    <row r="120" spans="1:12">
      <c r="H120" s="10"/>
      <c r="I120" s="10"/>
      <c r="J120" s="10"/>
      <c r="K120" s="10"/>
      <c r="L120" s="10"/>
    </row>
    <row r="121" spans="1:12">
      <c r="H121" s="10"/>
      <c r="I121" s="10"/>
      <c r="J121" s="10"/>
      <c r="K121" s="10"/>
      <c r="L121" s="10"/>
    </row>
    <row r="127" spans="1:12">
      <c r="A127" s="1"/>
      <c r="B127" s="5"/>
      <c r="C127" s="5"/>
      <c r="D127" s="5"/>
      <c r="E127" s="5"/>
      <c r="F127" s="5"/>
      <c r="G127" s="5"/>
    </row>
    <row r="128" spans="1:12">
      <c r="A128" s="5"/>
      <c r="B128" s="5"/>
      <c r="C128" s="5"/>
      <c r="D128" s="5"/>
      <c r="E128" s="5"/>
      <c r="F128" s="5"/>
      <c r="G128" s="5"/>
    </row>
    <row r="129" spans="1:7">
      <c r="A129" s="5"/>
      <c r="B129" s="5"/>
      <c r="C129" s="5"/>
      <c r="D129" s="5"/>
      <c r="E129" s="5"/>
      <c r="F129" s="5"/>
      <c r="G129" s="5"/>
    </row>
    <row r="130" spans="1:7">
      <c r="A130" s="5"/>
      <c r="B130" s="5"/>
      <c r="C130" s="5"/>
      <c r="D130" s="5"/>
      <c r="E130" s="5"/>
      <c r="F130" s="5"/>
      <c r="G130" s="5"/>
    </row>
    <row r="131" spans="1:7">
      <c r="A131" s="5"/>
      <c r="B131" s="5"/>
      <c r="C131" s="5"/>
      <c r="D131" s="5"/>
      <c r="E131" s="5"/>
      <c r="F131" s="5"/>
      <c r="G131" s="5"/>
    </row>
    <row r="132" spans="1:7">
      <c r="A132" s="5"/>
      <c r="B132" s="5"/>
      <c r="C132" s="5"/>
      <c r="D132" s="5"/>
      <c r="E132" s="5"/>
      <c r="F132" s="5"/>
    </row>
    <row r="133" spans="1:7">
      <c r="A133" s="5"/>
      <c r="B133" s="5"/>
      <c r="C133" s="5"/>
      <c r="D133" s="5"/>
      <c r="E133" s="5"/>
      <c r="F133" s="5"/>
    </row>
    <row r="134" spans="1:7">
      <c r="A134" s="5"/>
      <c r="B134" s="5"/>
      <c r="C134" s="5"/>
      <c r="D134" s="5"/>
      <c r="E134" s="5"/>
      <c r="F134" s="5"/>
    </row>
    <row r="156" spans="5:10">
      <c r="E156" s="11"/>
      <c r="F156" s="11"/>
      <c r="G156" s="11"/>
      <c r="H156" s="11"/>
      <c r="I156" s="11"/>
      <c r="J156" s="11"/>
    </row>
    <row r="157" spans="5:10">
      <c r="E157" s="11"/>
      <c r="F157" s="11"/>
      <c r="G157" s="11"/>
      <c r="H157" s="11"/>
      <c r="I157" s="11"/>
      <c r="J157" s="11"/>
    </row>
    <row r="158" spans="5:10">
      <c r="E158" s="11"/>
      <c r="F158" s="11"/>
      <c r="G158" s="11"/>
      <c r="H158" s="11"/>
      <c r="I158" s="11"/>
      <c r="J158" s="11"/>
    </row>
    <row r="162" spans="1:13">
      <c r="D162" s="2"/>
      <c r="E162" s="2"/>
      <c r="F162" s="2"/>
      <c r="G162" s="2"/>
      <c r="H162" s="2"/>
      <c r="I162" s="2"/>
      <c r="J162" s="2"/>
      <c r="K162" s="2"/>
      <c r="L162" s="2"/>
      <c r="M162" s="2"/>
    </row>
    <row r="163" ht="14.25" spans="1:13">
      <c r="D163" s="12"/>
      <c r="E163" s="12"/>
      <c r="F163" s="12"/>
      <c r="G163" s="12"/>
      <c r="H163" s="12"/>
      <c r="I163" s="12"/>
      <c r="J163" s="12"/>
      <c r="K163" s="12"/>
      <c r="L163" s="12"/>
      <c r="M163" s="12"/>
    </row>
    <row r="164" ht="14.25" spans="1:13">
      <c r="A164" s="5"/>
      <c r="B164" s="5"/>
      <c r="C164" s="5"/>
      <c r="D164" s="5"/>
      <c r="E164" s="5"/>
      <c r="F164" s="12"/>
      <c r="G164" s="12"/>
      <c r="H164" s="12"/>
      <c r="I164" s="12"/>
      <c r="J164" s="12"/>
      <c r="K164" s="12"/>
      <c r="L164" s="12"/>
      <c r="M164" s="12"/>
    </row>
    <row r="165" ht="14.25" spans="1:13">
      <c r="A165" s="5"/>
      <c r="B165" s="5"/>
      <c r="C165" s="5"/>
      <c r="D165" s="5"/>
      <c r="E165" s="5"/>
      <c r="F165" s="12"/>
      <c r="G165" s="12"/>
      <c r="H165" s="12"/>
      <c r="I165" s="12"/>
      <c r="J165" s="12"/>
      <c r="K165" s="12"/>
      <c r="L165" s="12"/>
      <c r="M165" s="12"/>
    </row>
    <row r="166" ht="14.25" spans="1:13">
      <c r="A166" s="5"/>
      <c r="B166" s="5"/>
      <c r="C166" s="5"/>
      <c r="D166" s="5"/>
      <c r="E166" s="5"/>
      <c r="F166" s="12"/>
      <c r="G166" s="12"/>
      <c r="H166" s="12"/>
      <c r="I166" s="12"/>
      <c r="J166" s="12"/>
      <c r="K166" s="12"/>
      <c r="L166" s="12"/>
      <c r="M166" s="12"/>
    </row>
    <row r="191" ht="14.25" spans="3:6">
      <c r="C191" s="11"/>
      <c r="D191" s="11"/>
      <c r="E191" s="11"/>
      <c r="F191" s="11"/>
    </row>
    <row r="192" ht="14.25" spans="3:6">
      <c r="C192" s="11"/>
      <c r="D192" s="11"/>
      <c r="E192" s="11"/>
      <c r="F192" s="11"/>
    </row>
    <row r="193" ht="14.25" spans="1:8">
      <c r="C193" s="11"/>
      <c r="D193" s="11"/>
      <c r="E193" s="11"/>
      <c r="F193" s="11"/>
    </row>
    <row r="194" ht="14.25" spans="1:8">
      <c r="C194" s="11"/>
      <c r="D194" s="11"/>
      <c r="E194" s="11"/>
      <c r="F194" s="11"/>
    </row>
    <row r="195" spans="1:8">
      <c r="A195" s="5"/>
      <c r="B195" s="5"/>
      <c r="C195" s="5"/>
      <c r="D195" s="5"/>
      <c r="E195" s="5"/>
      <c r="F195" s="5"/>
      <c r="G195" s="5"/>
      <c r="H195" s="5"/>
    </row>
    <row r="196" spans="1:8">
      <c r="A196" s="5"/>
      <c r="B196" s="5"/>
      <c r="C196" s="5"/>
      <c r="D196" s="5"/>
      <c r="E196" s="5"/>
      <c r="F196" s="5"/>
      <c r="G196" s="5"/>
      <c r="H196" s="5"/>
    </row>
    <row r="197" spans="1:8">
      <c r="A197" s="5"/>
      <c r="B197" s="5"/>
      <c r="C197" s="5"/>
      <c r="D197" s="5"/>
      <c r="E197" s="5"/>
      <c r="F197" s="5"/>
      <c r="G197" s="5"/>
      <c r="H197" s="5"/>
    </row>
    <row r="210" spans="7:12">
      <c r="G210" s="13"/>
      <c r="H210" s="13"/>
      <c r="I210" s="13"/>
      <c r="J210" s="13"/>
      <c r="K210" s="13"/>
      <c r="L210" s="13"/>
    </row>
    <row r="211" spans="7:12">
      <c r="G211" s="13"/>
      <c r="H211" s="13"/>
      <c r="I211" s="13"/>
      <c r="J211" s="13"/>
      <c r="K211" s="13"/>
      <c r="L211" s="13"/>
    </row>
    <row r="212" spans="7:12">
      <c r="G212" s="13"/>
      <c r="H212" s="13"/>
      <c r="I212" s="13"/>
      <c r="J212" s="13"/>
      <c r="K212" s="13"/>
      <c r="L212" s="13"/>
    </row>
    <row r="229" spans="1:7">
      <c r="B229" s="11"/>
      <c r="C229" s="11"/>
      <c r="D229" s="11"/>
      <c r="E229" s="11"/>
      <c r="F229" s="11"/>
      <c r="G229" s="11"/>
    </row>
    <row r="230" spans="1:7">
      <c r="B230" s="11"/>
      <c r="C230" s="11"/>
      <c r="D230" s="11"/>
      <c r="E230" s="11"/>
      <c r="F230" s="11"/>
      <c r="G230" s="11"/>
    </row>
    <row r="232" spans="1:7">
      <c r="A232" s="1"/>
      <c r="B232" s="5"/>
      <c r="C232" s="5"/>
      <c r="D232" s="5"/>
      <c r="E232" s="5"/>
      <c r="F232" s="5"/>
      <c r="G232" s="5"/>
    </row>
    <row r="233" spans="1:7">
      <c r="A233" s="5"/>
      <c r="B233" s="5"/>
      <c r="C233" s="5"/>
      <c r="D233" s="5"/>
      <c r="E233" s="5"/>
      <c r="F233" s="5"/>
      <c r="G233" s="5"/>
    </row>
    <row r="234" spans="1:7">
      <c r="A234" s="5"/>
      <c r="B234" s="5"/>
      <c r="C234" s="5"/>
      <c r="D234" s="5"/>
      <c r="E234" s="5"/>
      <c r="F234" s="5"/>
      <c r="G234" s="5"/>
    </row>
    <row r="235" spans="1:7">
      <c r="A235" s="5"/>
      <c r="B235" s="5"/>
      <c r="C235" s="5"/>
      <c r="D235" s="5"/>
      <c r="E235" s="5"/>
      <c r="F235" s="5"/>
      <c r="G235" s="5"/>
    </row>
    <row r="250" spans="4:11">
      <c r="D250" s="6"/>
      <c r="E250" s="6"/>
      <c r="F250" s="6"/>
      <c r="G250" s="6"/>
      <c r="H250" s="6"/>
      <c r="I250" s="6"/>
      <c r="J250" s="6"/>
      <c r="K250" s="6"/>
    </row>
    <row r="251" ht="14.25" spans="4:11">
      <c r="D251" s="7"/>
      <c r="E251" s="7"/>
      <c r="F251" s="7"/>
      <c r="G251" s="7"/>
      <c r="H251" s="7"/>
      <c r="I251" s="7"/>
      <c r="J251" s="6"/>
      <c r="K251" s="6"/>
    </row>
    <row r="252" ht="14.25" spans="4:11">
      <c r="D252" s="7"/>
      <c r="E252" s="7"/>
      <c r="F252" s="7"/>
      <c r="G252" s="7"/>
      <c r="H252" s="7"/>
      <c r="I252" s="7"/>
      <c r="J252" s="6"/>
      <c r="K252" s="6"/>
    </row>
    <row r="253" spans="4:11">
      <c r="D253" s="6"/>
      <c r="E253" s="6"/>
      <c r="F253" s="13"/>
      <c r="G253" s="13"/>
      <c r="H253" s="13"/>
      <c r="I253" s="13"/>
      <c r="J253" s="13"/>
      <c r="K253" s="13"/>
    </row>
    <row r="254" spans="4:11">
      <c r="D254" s="6"/>
      <c r="E254" s="6"/>
      <c r="F254" s="13"/>
      <c r="G254" s="13"/>
      <c r="H254" s="13"/>
      <c r="I254" s="13"/>
      <c r="J254" s="13"/>
      <c r="K254" s="13"/>
    </row>
    <row r="255" spans="4:11">
      <c r="D255" s="6"/>
      <c r="E255" s="6"/>
      <c r="F255" s="13"/>
      <c r="G255" s="13"/>
      <c r="H255" s="13"/>
      <c r="I255" s="13"/>
      <c r="J255" s="13"/>
      <c r="K255" s="13"/>
    </row>
    <row r="256" spans="4:11">
      <c r="D256" s="6"/>
      <c r="E256" s="6"/>
      <c r="F256" s="6"/>
      <c r="G256" s="6"/>
      <c r="H256" s="6"/>
      <c r="I256" s="6"/>
      <c r="J256" s="6"/>
      <c r="K256" s="6"/>
    </row>
    <row r="267" spans="2:11">
      <c r="F267" s="10"/>
      <c r="G267" s="10"/>
      <c r="H267" s="10"/>
      <c r="I267" s="10"/>
      <c r="J267" s="10"/>
      <c r="K267" s="10"/>
    </row>
    <row r="268" spans="2:11">
      <c r="F268" s="10"/>
      <c r="G268" s="10"/>
      <c r="H268" s="10"/>
      <c r="I268" s="10"/>
      <c r="J268" s="10"/>
      <c r="K268" s="10"/>
    </row>
    <row r="269" spans="2:11">
      <c r="F269" s="10"/>
      <c r="G269" s="10"/>
      <c r="H269" s="10"/>
      <c r="I269" s="10"/>
      <c r="J269" s="10"/>
      <c r="K269" s="10"/>
    </row>
    <row r="270" spans="2:11">
      <c r="F270" s="10"/>
      <c r="G270" s="10"/>
      <c r="H270" s="10"/>
      <c r="I270" s="10"/>
      <c r="J270" s="10"/>
      <c r="K270" s="10"/>
    </row>
    <row r="272" spans="2:11">
      <c r="B272" s="5"/>
      <c r="C272" s="5"/>
      <c r="D272" s="5"/>
      <c r="E272" s="5"/>
      <c r="F272" s="5"/>
      <c r="G272" s="5"/>
    </row>
    <row r="273" spans="2:7">
      <c r="B273" s="5"/>
      <c r="C273" s="5"/>
      <c r="D273" s="5"/>
      <c r="E273" s="5"/>
      <c r="F273" s="5"/>
      <c r="G273" s="5"/>
    </row>
    <row r="274" spans="2:7">
      <c r="B274" s="5"/>
      <c r="C274" s="5"/>
      <c r="D274" s="5"/>
      <c r="E274" s="5"/>
      <c r="F274" s="5"/>
      <c r="G274" s="5"/>
    </row>
    <row r="275" spans="2:7">
      <c r="B275" s="5"/>
      <c r="C275" s="5"/>
      <c r="D275" s="5"/>
      <c r="E275" s="5"/>
      <c r="F275" s="5"/>
      <c r="G275" s="5"/>
    </row>
    <row r="304" spans="2:7">
      <c r="B304" s="5"/>
      <c r="C304" s="5"/>
      <c r="D304" s="5"/>
      <c r="E304" s="5"/>
      <c r="F304" s="5"/>
      <c r="G304" s="5"/>
    </row>
    <row r="305" spans="2:12">
      <c r="B305" s="5"/>
      <c r="C305" s="5"/>
      <c r="D305" s="5"/>
      <c r="E305" s="5"/>
      <c r="F305" s="5"/>
      <c r="G305" s="5"/>
    </row>
    <row r="306" spans="2:12">
      <c r="B306" s="5"/>
      <c r="C306" s="5"/>
      <c r="D306" s="5"/>
      <c r="E306" s="5"/>
      <c r="F306" s="5"/>
      <c r="G306" s="5"/>
    </row>
    <row r="311" spans="2:12">
      <c r="H311" s="10"/>
      <c r="I311" s="10"/>
      <c r="J311" s="10"/>
      <c r="K311" s="10"/>
      <c r="L311" s="10"/>
    </row>
    <row r="312" spans="2:12">
      <c r="H312" s="10"/>
      <c r="I312" s="10"/>
      <c r="J312" s="10"/>
      <c r="K312" s="10"/>
      <c r="L312" s="10"/>
    </row>
    <row r="313" spans="2:12">
      <c r="H313" s="10"/>
      <c r="I313" s="10"/>
      <c r="J313" s="10"/>
      <c r="K313" s="10"/>
      <c r="L313" s="10"/>
    </row>
    <row r="314" spans="2:12">
      <c r="H314" s="10"/>
      <c r="I314" s="10"/>
      <c r="J314" s="10"/>
      <c r="K314" s="10"/>
      <c r="L314" s="10"/>
    </row>
    <row r="349" spans="4:11">
      <c r="D349" s="11"/>
      <c r="E349" s="11"/>
      <c r="F349" s="11"/>
      <c r="G349" s="11"/>
      <c r="H349" s="11"/>
      <c r="I349" s="11"/>
      <c r="J349" s="11"/>
      <c r="K349" s="11"/>
    </row>
    <row r="350" spans="4:11">
      <c r="D350" s="11"/>
      <c r="E350" s="11"/>
      <c r="F350" s="11"/>
      <c r="G350" s="11"/>
      <c r="H350" s="11"/>
      <c r="I350" s="11"/>
      <c r="J350" s="11"/>
      <c r="K350" s="11"/>
    </row>
    <row r="351" spans="4:11">
      <c r="D351" s="11"/>
      <c r="E351" s="11"/>
      <c r="F351" s="11"/>
      <c r="G351" s="11"/>
      <c r="H351" s="11"/>
      <c r="I351" s="11"/>
      <c r="J351" s="11"/>
      <c r="K351" s="11"/>
    </row>
    <row r="353" spans="8:11">
      <c r="H353" s="10"/>
      <c r="I353" s="10"/>
      <c r="J353" s="10"/>
      <c r="K353" s="10"/>
    </row>
    <row r="354" spans="8:11">
      <c r="H354" s="10"/>
      <c r="I354" s="10"/>
      <c r="J354" s="10"/>
      <c r="K354" s="10"/>
    </row>
    <row r="388" spans="3:10">
      <c r="C388" s="11"/>
      <c r="D388" s="11"/>
      <c r="E388" s="11"/>
      <c r="F388" s="11"/>
      <c r="G388" s="11"/>
      <c r="H388" s="11"/>
      <c r="I388" s="11"/>
      <c r="J388" s="11"/>
    </row>
    <row r="389" spans="3:10">
      <c r="C389" s="11"/>
      <c r="D389" s="11"/>
      <c r="E389" s="11"/>
      <c r="F389" s="11"/>
      <c r="G389" s="11"/>
      <c r="H389" s="11"/>
      <c r="I389" s="11"/>
      <c r="J389" s="11"/>
    </row>
    <row r="390" spans="3:10">
      <c r="C390" s="11"/>
      <c r="D390" s="11"/>
      <c r="E390" s="11"/>
      <c r="F390" s="11"/>
      <c r="G390" s="11"/>
      <c r="H390" s="11"/>
      <c r="I390" s="11"/>
      <c r="J390" s="11"/>
    </row>
    <row r="487" spans="8:11">
      <c r="H487" s="11" t="s">
        <v>104</v>
      </c>
      <c r="I487" s="11"/>
      <c r="J487" s="11"/>
      <c r="K487" s="11"/>
    </row>
    <row r="488" spans="8:11">
      <c r="H488" s="11"/>
      <c r="I488" s="11"/>
      <c r="J488" s="11"/>
      <c r="K488" s="11"/>
    </row>
    <row r="489" spans="8:11">
      <c r="H489" s="11"/>
      <c r="I489" s="11"/>
      <c r="J489" s="11"/>
      <c r="K489" s="11"/>
    </row>
  </sheetData>
  <mergeCells count="18">
    <mergeCell ref="F81:K83"/>
    <mergeCell ref="H120:L121"/>
    <mergeCell ref="A127:G131"/>
    <mergeCell ref="A132:F134"/>
    <mergeCell ref="A164:E166"/>
    <mergeCell ref="H91:L93"/>
    <mergeCell ref="H353:K354"/>
    <mergeCell ref="H487:K489"/>
    <mergeCell ref="B229:G230"/>
    <mergeCell ref="C388:J390"/>
    <mergeCell ref="E156:J158"/>
    <mergeCell ref="D349:K351"/>
    <mergeCell ref="A195:H197"/>
    <mergeCell ref="A232:G235"/>
    <mergeCell ref="B272:G275"/>
    <mergeCell ref="B304:G306"/>
    <mergeCell ref="F267:K270"/>
    <mergeCell ref="H311:L314"/>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
  <sheetViews>
    <sheetView workbookViewId="0">
      <selection activeCell="A32" sqref="$A1:$XFD1048576"/>
    </sheetView>
  </sheetViews>
  <sheetFormatPr defaultColWidth="9" defaultRowHeight="13.5" outlineLevelRow="3"/>
  <cols>
    <col min="1" max="1" width="61.875" customWidth="1"/>
    <col min="3" max="3" width="9.25" customWidth="1"/>
  </cols>
  <sheetData>
    <row r="1" spans="1:14">
      <c r="C1" s="1"/>
      <c r="D1" s="1"/>
      <c r="E1" s="1"/>
      <c r="F1" s="1"/>
      <c r="G1" s="1"/>
      <c r="H1" s="1"/>
      <c r="I1" s="1"/>
      <c r="J1" s="1"/>
      <c r="K1" s="1"/>
      <c r="L1" s="2"/>
      <c r="M1" s="2"/>
      <c r="N1" s="2"/>
    </row>
    <row r="2" spans="1:14">
      <c r="A2" s="3"/>
      <c r="B2" s="4"/>
      <c r="C2" s="4"/>
      <c r="D2" s="4"/>
      <c r="E2" s="4"/>
      <c r="F2" s="4"/>
      <c r="G2" s="4"/>
      <c r="H2" s="4"/>
      <c r="I2" s="4"/>
      <c r="J2" s="4"/>
      <c r="K2" s="4"/>
      <c r="L2" s="4"/>
      <c r="M2" s="4"/>
      <c r="N2" s="4"/>
    </row>
    <row r="4" spans="1:14">
      <c r="A4" s="4"/>
      <c r="B4" s="5"/>
      <c r="C4" s="5"/>
      <c r="D4" s="5"/>
      <c r="E4" s="5"/>
      <c r="F4" s="5"/>
      <c r="G4" s="5"/>
      <c r="H4" s="5"/>
      <c r="I4" s="5"/>
      <c r="J4" s="5"/>
      <c r="K4" s="5"/>
      <c r="L4" s="5"/>
      <c r="M4" s="5"/>
    </row>
  </sheetData>
  <mergeCells count="3">
    <mergeCell ref="C1:K1"/>
    <mergeCell ref="A2:N2"/>
    <mergeCell ref="A4:M4"/>
  </mergeCell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3</vt:i4>
      </vt:variant>
    </vt:vector>
  </HeadingPairs>
  <TitlesOfParts>
    <vt:vector size="3" baseType="lpstr">
      <vt:lpstr>免费旋转打码量逻辑调整</vt:lpstr>
      <vt:lpstr>功能位置</vt:lpstr>
      <vt:lpstr>需求迭代</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IGG</dc:creator>
  <cp:lastModifiedBy>妄想型魂淡</cp:lastModifiedBy>
  <dcterms:created xsi:type="dcterms:W3CDTF">2022-02-14T09:35:00Z</dcterms:created>
  <dcterms:modified xsi:type="dcterms:W3CDTF">2025-12-19T13:04:36Z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6F315210BDF6443A8166CB51FAFDA0A3_13</vt:lpwstr>
  </property>
  <property fmtid="{D5CDD505-2E9C-101B-9397-08002B2CF9AE}" pid="3" name="KSOProductBuildVer">
    <vt:lpwstr>2052-12.1.0.24031</vt:lpwstr>
  </property>
  <property fmtid="{D5CDD505-2E9C-101B-9397-08002B2CF9AE}" pid="4" name="CalculationRule">
    <vt:i4>0</vt:i4>
  </property>
</Properties>
</file>