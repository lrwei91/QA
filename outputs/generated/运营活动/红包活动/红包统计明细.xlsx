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红包统计明细" sheetId="1" r:id="rId1"/>
    <sheet name="功能位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9" authorId="0">
      <text>
        <r>
          <rPr>
            <sz val="10"/>
            <rFont val="宋体"/>
            <charset val="134"/>
          </rPr>
          <t>请勿修改表头顺序，ID必填</t>
        </r>
      </text>
    </comment>
    <comment ref="C9" authorId="0">
      <text>
        <r>
          <rPr>
            <sz val="10"/>
            <rFont val="宋体"/>
            <charset val="134"/>
          </rPr>
          <t>若无该模块将自动创建</t>
        </r>
      </text>
    </comment>
    <comment ref="E9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9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</commentList>
</comments>
</file>

<file path=xl/sharedStrings.xml><?xml version="1.0" encoding="utf-8"?>
<sst xmlns="http://schemas.openxmlformats.org/spreadsheetml/2006/main" count="78" uniqueCount="69">
  <si>
    <t>红包统计明细-测试用例</t>
  </si>
  <si>
    <t>测试总数量</t>
  </si>
  <si>
    <t>测试平台</t>
  </si>
  <si>
    <t>服务端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</si>
  <si>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</si>
  <si>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</si>
  <si>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</si>
  <si>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</si>
  <si>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</si>
  <si>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</si>
  <si>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</si>
  <si>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</si>
  <si>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</si>
  <si>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</si>
  <si>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</si>
  <si>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ID</t>
  </si>
  <si>
    <t>用例名称</t>
  </si>
  <si>
    <t>所属模块</t>
  </si>
  <si>
    <t>前置条件</t>
  </si>
  <si>
    <t>步骤描述</t>
  </si>
  <si>
    <t>预期结果</t>
  </si>
  <si>
    <t>执行结果</t>
  </si>
  <si>
    <t>图片</t>
  </si>
  <si>
    <t>备注</t>
  </si>
  <si>
    <t>检查红包1领取明细记录是否正确</t>
  </si>
  <si>
    <t>运营活动-红包活动-红包活动1</t>
  </si>
  <si>
    <t>兑换码失效</t>
  </si>
  <si>
    <t>1.用户领取兑换码后，调整红包活动时间过期
2.用户在客户端进行兑换</t>
  </si>
  <si>
    <t>记录一条兑换失败明细，失败原因：激活码已过期</t>
  </si>
  <si>
    <t>红包活动设置充值限制：10000000</t>
  </si>
  <si>
    <t>1.用户未达到充值金额，已领取的兑换码进行兑换</t>
  </si>
  <si>
    <t>记录一条兑换失败明细，失败原因：充值金额限制</t>
  </si>
  <si>
    <t>注册用户为1.7日注册的</t>
  </si>
  <si>
    <t>1.用户领取兑换码后，将允许领取的创建账号时间改为：1，导致用户超出不符合兑换条件
2.已领取的兑换码进行兑换</t>
  </si>
  <si>
    <t>记录一条兑换失败明细，失败原因：允许领取天数范限制</t>
  </si>
  <si>
    <t>用户充值行为不在红包活动范围内</t>
  </si>
  <si>
    <t>1.用户领取兑换码后，将最近充值记录的时间改为：1。导致用户超出不符合兑换条件
2.已领取的兑换码进行兑换</t>
  </si>
  <si>
    <t>记录一条兑换失败明细，失败原因：最近充值时间限制</t>
  </si>
  <si>
    <t>1.未绑定手机号的用户，兑换其他用户的兑换码</t>
  </si>
  <si>
    <t>记录一条兑换失败明细，失败原因：当前账号手机号未绑定</t>
  </si>
  <si>
    <t>1.用户兑换的是其他用户的未兑换的兑换码</t>
  </si>
  <si>
    <t>记录一条兑换失败明细，失败原因：手机号不是绑定手机号</t>
  </si>
  <si>
    <t>1.用户兑换的是已兑换的兑换码</t>
  </si>
  <si>
    <t>记录一条兑换失败明细，失败原因：激活码已使用</t>
  </si>
  <si>
    <t>检查红包2领取明细记录是否正确</t>
  </si>
  <si>
    <t>运营活动-红包活动-红包活动2</t>
  </si>
  <si>
    <t>1、用户登录客户端
2、选择活动时间过期的红包码在客户端兑换</t>
  </si>
  <si>
    <t>记录一条兑换失败明细，失败原因：兑换码不符合当前所有红包活动，请确认是否输入正确</t>
  </si>
  <si>
    <t>1、用户登录客户端
2、选择所有条件都符合的红包码在客户端兑换</t>
  </si>
  <si>
    <t>记录一条兑换成功明细，失败原因为空</t>
  </si>
  <si>
    <t>1、用户登录客户端
2、选择“VIP等级要求”不符合的红包码在客户端兑换</t>
  </si>
  <si>
    <t xml:space="preserve">记录一条兑换失败明细，失败原因：VIP等级限制
</t>
  </si>
  <si>
    <t>1、用户登录客户端
2、选择“允许领取的创建账号时间”不符合的红包码在客户端兑换</t>
  </si>
  <si>
    <t xml:space="preserve">记录一条兑换失败明细，失败原因：允许领取天数范围限制
</t>
  </si>
  <si>
    <t>1、用户登录客户端
2、选择“充值多少才能领取”不符合的红包码在客户端兑换</t>
  </si>
  <si>
    <t xml:space="preserve">记录一条兑换失败明细，失败原因：充值金额限制
</t>
  </si>
  <si>
    <t>1、用户登录客户端
2、选择“最近充值记录的时间”不符合的红包码在客户端兑换</t>
  </si>
  <si>
    <t xml:space="preserve">记录一条兑换失败明细，失败原因：最近充值时间限制
</t>
  </si>
  <si>
    <t>1、用户登录客户端
2、已在活动期号A下兑换过红包码，再次使用活动期号A下的其它红包码兑换</t>
  </si>
  <si>
    <t>记录一条兑换失败明细，失败原因：你已参与过当前红包活动，无法重复参与</t>
  </si>
  <si>
    <t>1、用户A登录客户端，已在活动期号A下兑换过红包码
2、用户B登录客户端，同样输入活动期号A下已被兑换过的红包码</t>
  </si>
  <si>
    <t xml:space="preserve">记录一条兑换失败明细，失败原因：兑换码已被使用
</t>
  </si>
  <si>
    <t>1、用户登录客户端
2、选择多个活动期号下的同一红包码在客户端兑换</t>
  </si>
  <si>
    <t>每个活动期号下的领取记录明细均插入一条兑换明细</t>
  </si>
  <si>
    <t>选择时间/玩家UID/是否统计，查询</t>
  </si>
  <si>
    <t>获取正确的查询结果</t>
  </si>
  <si>
    <t>选择本页，导出</t>
  </si>
  <si>
    <t>导出成功</t>
  </si>
  <si>
    <t>选择所有数据，导出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</si>
</sst>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indexed="8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FFFFFF"/>
      <name val="細明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1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1"/>
      <color theme="1"/>
      <name val="宋体"/>
      <charset val="134"/>
      <scheme val="minor"/>
    </font>
    <font>
      <sz val="12"/>
      <color theme="1"/>
      <name val="宋体"/>
      <charset val="136"/>
      <scheme val="minor"/>
    </font>
    <font>
      <b/>
      <sz val="14"/>
      <name val="宋体"/>
      <charset val="134"/>
    </font>
    <font>
      <sz val="12"/>
      <color rgb="FF0000FF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7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9" borderId="12" applyNumberFormat="0" applyAlignment="0" applyProtection="0">
      <alignment vertical="center"/>
    </xf>
    <xf numFmtId="0" fontId="24" fillId="10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2">
    <xf numFmtId="0" fontId="0" fillId="0" borderId="0" xfId="0" applyFo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2" fillId="4" borderId="2" xfId="49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14" fontId="2" fillId="4" borderId="4" xfId="49" applyNumberFormat="1" applyFont="1" applyFill="1" applyBorder="1" applyAlignment="1">
      <alignment horizontal="left" vertical="center"/>
    </xf>
    <xf numFmtId="14" fontId="2" fillId="4" borderId="5" xfId="49" applyNumberFormat="1" applyFont="1" applyFill="1" applyBorder="1" applyAlignment="1">
      <alignment horizontal="left" vertical="center"/>
    </xf>
    <xf numFmtId="46" fontId="2" fillId="4" borderId="3" xfId="49" applyNumberFormat="1" applyFont="1" applyFill="1" applyBorder="1" applyAlignment="1">
      <alignment horizontal="left" vertical="center"/>
    </xf>
    <xf numFmtId="0" fontId="4" fillId="4" borderId="2" xfId="49" applyFont="1" applyFill="1" applyBorder="1" applyAlignment="1">
      <alignment horizontal="center" vertical="center"/>
    </xf>
    <xf numFmtId="14" fontId="5" fillId="4" borderId="4" xfId="49" applyNumberFormat="1" applyFont="1" applyFill="1" applyBorder="1" applyAlignment="1">
      <alignment horizontal="left" vertical="center"/>
    </xf>
    <xf numFmtId="14" fontId="6" fillId="4" borderId="5" xfId="49" applyNumberFormat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46" fontId="2" fillId="4" borderId="2" xfId="49" applyNumberFormat="1" applyFont="1" applyFill="1" applyBorder="1" applyAlignment="1">
      <alignment horizontal="left" vertical="center"/>
    </xf>
    <xf numFmtId="0" fontId="7" fillId="4" borderId="2" xfId="49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8" fillId="4" borderId="2" xfId="49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2" fillId="4" borderId="2" xfId="49" applyFont="1" applyFill="1" applyBorder="1" applyAlignment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3" xfId="0" applyFont="1" applyBorder="1">
      <alignment vertical="center"/>
    </xf>
    <xf numFmtId="0" fontId="0" fillId="0" borderId="3" xfId="0" applyFont="1" applyBorder="1" applyAlignment="1">
      <alignment vertical="center" wrapText="1"/>
    </xf>
    <xf numFmtId="0" fontId="0" fillId="0" borderId="3" xfId="0" applyFont="1" applyBorder="1" applyAlignment="1">
      <alignment vertical="center" wrapText="1"/>
    </xf>
    <xf numFmtId="0" fontId="12" fillId="4" borderId="6" xfId="49" applyFont="1" applyFill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2" xfId="0" applyFont="1" applyBorder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2" fillId="4" borderId="7" xfId="49" applyFont="1" applyFill="1" applyBorder="1" applyAlignment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vertical="center"/>
    </xf>
    <xf numFmtId="0" fontId="12" fillId="4" borderId="3" xfId="49" applyFont="1" applyFill="1" applyBorder="1" applyAlignment="1">
      <alignment vertical="center"/>
    </xf>
    <xf numFmtId="0" fontId="0" fillId="0" borderId="5" xfId="0" applyFont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320040</xdr:colOff>
      <xdr:row>11</xdr:row>
      <xdr:rowOff>48895</xdr:rowOff>
    </xdr:from>
    <xdr:to>
      <xdr:col>3</xdr:col>
      <xdr:colOff>2545080</xdr:colOff>
      <xdr:row>11</xdr:row>
      <xdr:rowOff>579120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54065" y="4500245"/>
          <a:ext cx="2225040" cy="530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121285</xdr:colOff>
      <xdr:row>12</xdr:row>
      <xdr:rowOff>100965</xdr:rowOff>
    </xdr:from>
    <xdr:to>
      <xdr:col>3</xdr:col>
      <xdr:colOff>2992755</xdr:colOff>
      <xdr:row>12</xdr:row>
      <xdr:rowOff>532765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655310" y="6050915"/>
          <a:ext cx="2871470" cy="43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135255</xdr:colOff>
      <xdr:row>14</xdr:row>
      <xdr:rowOff>290195</xdr:rowOff>
    </xdr:from>
    <xdr:to>
      <xdr:col>7</xdr:col>
      <xdr:colOff>7682865</xdr:colOff>
      <xdr:row>14</xdr:row>
      <xdr:rowOff>986155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167475" y="8881745"/>
          <a:ext cx="7547610" cy="695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791210</xdr:colOff>
      <xdr:row>13</xdr:row>
      <xdr:rowOff>360680</xdr:rowOff>
    </xdr:from>
    <xdr:to>
      <xdr:col>7</xdr:col>
      <xdr:colOff>7115810</xdr:colOff>
      <xdr:row>13</xdr:row>
      <xdr:rowOff>734060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8861405" y="7631430"/>
          <a:ext cx="7286625" cy="373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39370</xdr:colOff>
      <xdr:row>11</xdr:row>
      <xdr:rowOff>382270</xdr:rowOff>
    </xdr:from>
    <xdr:to>
      <xdr:col>7</xdr:col>
      <xdr:colOff>7144385</xdr:colOff>
      <xdr:row>11</xdr:row>
      <xdr:rowOff>742950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071590" y="4833620"/>
          <a:ext cx="7105015" cy="360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124460</xdr:colOff>
      <xdr:row>10</xdr:row>
      <xdr:rowOff>464820</xdr:rowOff>
    </xdr:from>
    <xdr:to>
      <xdr:col>7</xdr:col>
      <xdr:colOff>7145655</xdr:colOff>
      <xdr:row>10</xdr:row>
      <xdr:rowOff>744855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156680" y="3595370"/>
          <a:ext cx="7021195" cy="280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207645</xdr:colOff>
      <xdr:row>12</xdr:row>
      <xdr:rowOff>266700</xdr:rowOff>
    </xdr:from>
    <xdr:to>
      <xdr:col>7</xdr:col>
      <xdr:colOff>7212330</xdr:colOff>
      <xdr:row>12</xdr:row>
      <xdr:rowOff>692150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239865" y="6216650"/>
          <a:ext cx="7004685" cy="425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59690</xdr:colOff>
      <xdr:row>9</xdr:row>
      <xdr:rowOff>283845</xdr:rowOff>
    </xdr:from>
    <xdr:to>
      <xdr:col>7</xdr:col>
      <xdr:colOff>7164705</xdr:colOff>
      <xdr:row>9</xdr:row>
      <xdr:rowOff>614045</xdr:rowOff>
    </xdr:to>
    <xdr:pic>
      <xdr:nvPicPr>
        <xdr:cNvPr id="10" name="图片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091910" y="2093595"/>
          <a:ext cx="7105015" cy="330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239395</xdr:colOff>
      <xdr:row>15</xdr:row>
      <xdr:rowOff>354965</xdr:rowOff>
    </xdr:from>
    <xdr:to>
      <xdr:col>7</xdr:col>
      <xdr:colOff>7105650</xdr:colOff>
      <xdr:row>15</xdr:row>
      <xdr:rowOff>1099820</xdr:rowOff>
    </xdr:to>
    <xdr:pic>
      <xdr:nvPicPr>
        <xdr:cNvPr id="12" name="图片 1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271615" y="10267315"/>
          <a:ext cx="6866255" cy="744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409575</xdr:colOff>
      <xdr:row>16</xdr:row>
      <xdr:rowOff>44450</xdr:rowOff>
    </xdr:from>
    <xdr:to>
      <xdr:col>7</xdr:col>
      <xdr:colOff>5029835</xdr:colOff>
      <xdr:row>16</xdr:row>
      <xdr:rowOff>1130935</xdr:rowOff>
    </xdr:to>
    <xdr:pic>
      <xdr:nvPicPr>
        <xdr:cNvPr id="5" name="图片 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441795" y="11277600"/>
          <a:ext cx="4620260" cy="1086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495300</xdr:colOff>
      <xdr:row>17</xdr:row>
      <xdr:rowOff>120650</xdr:rowOff>
    </xdr:from>
    <xdr:to>
      <xdr:col>7</xdr:col>
      <xdr:colOff>4756150</xdr:colOff>
      <xdr:row>17</xdr:row>
      <xdr:rowOff>1158875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527520" y="12674600"/>
          <a:ext cx="4260850" cy="103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581025</xdr:colOff>
      <xdr:row>25</xdr:row>
      <xdr:rowOff>92075</xdr:rowOff>
    </xdr:from>
    <xdr:to>
      <xdr:col>7</xdr:col>
      <xdr:colOff>3722370</xdr:colOff>
      <xdr:row>25</xdr:row>
      <xdr:rowOff>1206500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613245" y="23212425"/>
          <a:ext cx="3141345" cy="1114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152400</xdr:colOff>
      <xdr:row>26</xdr:row>
      <xdr:rowOff>92075</xdr:rowOff>
    </xdr:from>
    <xdr:to>
      <xdr:col>7</xdr:col>
      <xdr:colOff>5628640</xdr:colOff>
      <xdr:row>26</xdr:row>
      <xdr:rowOff>1229360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184620" y="24533225"/>
          <a:ext cx="5476240" cy="113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228600</xdr:colOff>
      <xdr:row>27</xdr:row>
      <xdr:rowOff>111125</xdr:rowOff>
    </xdr:from>
    <xdr:to>
      <xdr:col>7</xdr:col>
      <xdr:colOff>4695190</xdr:colOff>
      <xdr:row>27</xdr:row>
      <xdr:rowOff>1153160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260820" y="25873075"/>
          <a:ext cx="4466590" cy="1042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65405</xdr:colOff>
      <xdr:row>1</xdr:row>
      <xdr:rowOff>191770</xdr:rowOff>
    </xdr:from>
    <xdr:to>
      <xdr:col>16</xdr:col>
      <xdr:colOff>4445</xdr:colOff>
      <xdr:row>19</xdr:row>
      <xdr:rowOff>31750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5405" y="342900"/>
          <a:ext cx="10911840" cy="2946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"/>
  <sheetViews>
    <sheetView tabSelected="1" workbookViewId="0">
      <selection activeCell="A7" sqref="A7"/>
    </sheetView>
  </sheetViews>
  <sheetFormatPr defaultColWidth="9" defaultRowHeight="13.5"/>
  <cols>
    <col min="1" max="1" width="12.875" customWidth="1"/>
    <col min="2" max="2" width="33.125" customWidth="1"/>
    <col min="3" max="3" width="26.625" customWidth="1"/>
    <col min="4" max="4" width="48.3916666666667" customWidth="1"/>
    <col min="5" max="5" width="65.375" customWidth="1"/>
    <col min="6" max="6" width="50.75" customWidth="1"/>
    <col min="7" max="7" width="12.625" customWidth="1"/>
    <col min="8" max="8" width="101.766666666667" customWidth="1"/>
    <col min="9" max="9" width="14.75" customWidth="1"/>
  </cols>
  <sheetData>
    <row r="1" ht="16.5" spans="1:9">
      <c r="A1" s="1" t="s">
        <v>0</v>
      </c>
      <c r="B1" s="2"/>
      <c r="C1" s="2"/>
      <c r="D1" s="2"/>
      <c r="E1" s="2"/>
      <c r="F1" s="3" t="s">
        <v>1</v>
      </c>
      <c r="G1" s="4">
        <f>G2+G3+G4</f>
        <v>8</v>
      </c>
    </row>
    <row r="2" ht="16.5" spans="1:9">
      <c r="A2" s="5" t="s">
        <v>2</v>
      </c>
      <c r="B2" s="6" t="s">
        <v>3</v>
      </c>
      <c r="C2" s="7"/>
      <c r="D2" s="5" t="s">
        <v>4</v>
      </c>
      <c r="E2" s="8"/>
      <c r="F2" s="9" t="s">
        <v>5</v>
      </c>
      <c r="G2" s="9">
        <f>COUNTIF(G9:G77,"Pass")</f>
        <v>8</v>
      </c>
    </row>
    <row r="3" ht="16.5" spans="1:9">
      <c r="A3" s="5" t="s">
        <v>6</v>
      </c>
      <c r="B3" s="10"/>
      <c r="C3" s="11"/>
      <c r="D3" s="12" t="s">
        <v>7</v>
      </c>
      <c r="E3" s="13"/>
      <c r="F3" s="14" t="s">
        <v>8</v>
      </c>
      <c r="G3" s="14">
        <f>COUNTIF(G9:G77,"Fail")</f>
        <v>0</v>
      </c>
    </row>
    <row r="4" ht="16.5" spans="1:9">
      <c r="A4" s="5" t="s">
        <v>9</v>
      </c>
      <c r="B4" s="6"/>
      <c r="C4" s="7"/>
      <c r="D4" s="15" t="s">
        <v>10</v>
      </c>
      <c r="E4" s="16"/>
      <c r="F4" s="17" t="s">
        <v>11</v>
      </c>
      <c r="G4" s="17">
        <f>COUNTIF(G9:G77,"N/A")</f>
        <v>0</v>
      </c>
    </row>
    <row r="5" ht="16.5" spans="1:9">
      <c r="A5" s="5" t="s">
        <v>12</v>
      </c>
      <c r="B5" s="6"/>
      <c r="C5" s="7"/>
      <c r="D5" s="12" t="s">
        <v>13</v>
      </c>
      <c r="E5" s="16"/>
      <c r="F5" s="18"/>
      <c r="G5" s="18"/>
    </row>
    <row r="6" ht="14.25" spans="1:9">
      <c r="A6" s="5" t="s">
        <v>14</v>
      </c>
      <c r="B6" s="19"/>
      <c r="C6" s="19"/>
      <c r="D6" s="19"/>
      <c r="E6" s="19"/>
      <c r="F6" s="20"/>
      <c r="G6" s="18"/>
    </row>
    <row r="9" ht="18.75" spans="1:9">
      <c r="A9" s="21" t="s">
        <v>15</v>
      </c>
      <c r="B9" s="21" t="s">
        <v>16</v>
      </c>
      <c r="C9" s="21" t="s">
        <v>17</v>
      </c>
      <c r="D9" s="21" t="s">
        <v>18</v>
      </c>
      <c r="E9" s="21" t="s">
        <v>19</v>
      </c>
      <c r="F9" s="21" t="s">
        <v>20</v>
      </c>
      <c r="G9" s="21" t="s">
        <v>21</v>
      </c>
      <c r="H9" s="21" t="s">
        <v>22</v>
      </c>
      <c r="I9" s="21" t="s">
        <v>23</v>
      </c>
    </row>
    <row r="10" ht="104" customHeight="1" spans="1:9">
      <c r="A10" s="22">
        <v>1</v>
      </c>
      <c r="B10" s="23" t="s">
        <v>24</v>
      </c>
      <c r="C10" s="23" t="s">
        <v>25</v>
      </c>
      <c r="D10" s="23" t="s">
        <v>26</v>
      </c>
      <c r="E10" s="23" t="s">
        <v>27</v>
      </c>
      <c r="F10" s="23" t="s">
        <v>28</v>
      </c>
      <c r="G10" s="24" t="s">
        <v>5</v>
      </c>
      <c r="H10" s="25"/>
      <c r="I10" s="23"/>
    </row>
    <row r="11" ht="104" customHeight="1" spans="1:9">
      <c r="A11" s="22">
        <v>2</v>
      </c>
      <c r="B11" s="23"/>
      <c r="C11" s="23"/>
      <c r="D11" s="23" t="s">
        <v>29</v>
      </c>
      <c r="E11" s="23" t="s">
        <v>30</v>
      </c>
      <c r="F11" s="23" t="s">
        <v>31</v>
      </c>
      <c r="G11" s="24" t="s">
        <v>5</v>
      </c>
      <c r="H11" s="25"/>
      <c r="I11" s="23"/>
    </row>
    <row r="12" ht="118" customHeight="1" spans="1:9">
      <c r="A12" s="22">
        <v>3</v>
      </c>
      <c r="B12" s="23"/>
      <c r="C12" s="23"/>
      <c r="D12" s="23" t="s">
        <v>32</v>
      </c>
      <c r="E12" s="23" t="s">
        <v>33</v>
      </c>
      <c r="F12" s="23" t="s">
        <v>34</v>
      </c>
      <c r="G12" s="24" t="s">
        <v>5</v>
      </c>
      <c r="H12" s="25"/>
      <c r="I12" s="23"/>
    </row>
    <row r="13" ht="104" customHeight="1" spans="1:9">
      <c r="A13" s="22">
        <v>4</v>
      </c>
      <c r="B13" s="23"/>
      <c r="C13" s="23"/>
      <c r="D13" s="23" t="s">
        <v>35</v>
      </c>
      <c r="E13" s="23" t="s">
        <v>36</v>
      </c>
      <c r="F13" s="23" t="s">
        <v>37</v>
      </c>
      <c r="G13" s="24" t="s">
        <v>5</v>
      </c>
      <c r="H13" s="25"/>
      <c r="I13" s="23"/>
    </row>
    <row r="14" ht="104" customHeight="1" spans="1:9">
      <c r="A14" s="22">
        <v>5</v>
      </c>
      <c r="B14" s="23"/>
      <c r="C14" s="23"/>
      <c r="D14" s="23"/>
      <c r="E14" s="23" t="s">
        <v>38</v>
      </c>
      <c r="F14" s="23" t="s">
        <v>39</v>
      </c>
      <c r="G14" s="24" t="s">
        <v>5</v>
      </c>
      <c r="H14" s="25"/>
      <c r="I14" s="23"/>
    </row>
    <row r="15" ht="104" customHeight="1" spans="1:9">
      <c r="A15" s="22">
        <v>6</v>
      </c>
      <c r="B15" s="23"/>
      <c r="C15" s="23"/>
      <c r="D15" s="23"/>
      <c r="E15" s="23" t="s">
        <v>40</v>
      </c>
      <c r="F15" s="23" t="s">
        <v>41</v>
      </c>
      <c r="G15" s="24" t="s">
        <v>5</v>
      </c>
      <c r="H15" s="25"/>
      <c r="I15" s="23"/>
    </row>
    <row r="16" ht="104" customHeight="1" spans="1:9">
      <c r="A16" s="22">
        <v>7</v>
      </c>
      <c r="B16" s="23"/>
      <c r="C16" s="23"/>
      <c r="D16" s="23"/>
      <c r="E16" s="23" t="s">
        <v>42</v>
      </c>
      <c r="F16" s="23" t="s">
        <v>43</v>
      </c>
      <c r="G16" s="26" t="s">
        <v>5</v>
      </c>
      <c r="H16" s="25"/>
      <c r="I16" s="23"/>
    </row>
    <row r="17" ht="104" customHeight="1" spans="1:9">
      <c r="A17" s="27">
        <v>8</v>
      </c>
      <c r="B17" s="28" t="s">
        <v>44</v>
      </c>
      <c r="C17" s="28" t="s">
        <v>45</v>
      </c>
      <c r="D17" s="29"/>
      <c r="E17" s="30" t="s">
        <v>46</v>
      </c>
      <c r="F17" s="31" t="s">
        <v>47</v>
      </c>
      <c r="G17" s="32" t="s">
        <v>5</v>
      </c>
      <c r="H17" s="29"/>
      <c r="I17" s="33"/>
    </row>
    <row r="18" ht="104" customHeight="1" spans="1:9">
      <c r="A18" s="27"/>
      <c r="B18" s="28"/>
      <c r="C18" s="28"/>
      <c r="D18" s="34"/>
      <c r="E18" s="35" t="s">
        <v>48</v>
      </c>
      <c r="F18" s="36" t="s">
        <v>49</v>
      </c>
      <c r="G18" s="37"/>
      <c r="H18" s="34"/>
      <c r="I18" s="33"/>
    </row>
    <row r="19" ht="104" customHeight="1" spans="1:9">
      <c r="A19" s="27"/>
      <c r="B19" s="28"/>
      <c r="C19" s="28"/>
      <c r="D19" s="34"/>
      <c r="E19" s="35" t="s">
        <v>50</v>
      </c>
      <c r="F19" s="36" t="s">
        <v>51</v>
      </c>
      <c r="G19" s="37"/>
      <c r="H19" s="34"/>
      <c r="I19" s="33"/>
    </row>
    <row r="20" ht="104" customHeight="1" spans="1:9">
      <c r="A20" s="27"/>
      <c r="B20" s="28"/>
      <c r="C20" s="28"/>
      <c r="D20" s="34"/>
      <c r="E20" s="35" t="s">
        <v>52</v>
      </c>
      <c r="F20" s="36" t="s">
        <v>53</v>
      </c>
      <c r="G20" s="37"/>
      <c r="H20" s="34"/>
      <c r="I20" s="33"/>
    </row>
    <row r="21" ht="104" customHeight="1" spans="1:9">
      <c r="A21" s="27"/>
      <c r="B21" s="28"/>
      <c r="C21" s="28"/>
      <c r="D21" s="34"/>
      <c r="E21" s="35" t="s">
        <v>54</v>
      </c>
      <c r="F21" s="36" t="s">
        <v>55</v>
      </c>
      <c r="G21" s="37"/>
      <c r="H21" s="34"/>
      <c r="I21" s="33"/>
    </row>
    <row r="22" ht="104" customHeight="1" spans="1:9">
      <c r="A22" s="27"/>
      <c r="B22" s="28"/>
      <c r="C22" s="28"/>
      <c r="D22" s="34"/>
      <c r="E22" s="35" t="s">
        <v>56</v>
      </c>
      <c r="F22" s="36" t="s">
        <v>57</v>
      </c>
      <c r="G22" s="37"/>
      <c r="H22" s="34"/>
      <c r="I22" s="33"/>
    </row>
    <row r="23" ht="104" customHeight="1" spans="1:9">
      <c r="A23" s="27"/>
      <c r="B23" s="28"/>
      <c r="C23" s="28"/>
      <c r="D23" s="34"/>
      <c r="E23" s="35" t="s">
        <v>58</v>
      </c>
      <c r="F23" s="36" t="s">
        <v>59</v>
      </c>
      <c r="G23" s="37"/>
      <c r="H23" s="34"/>
      <c r="I23" s="33"/>
    </row>
    <row r="24" ht="104" customHeight="1" spans="1:9">
      <c r="A24" s="27"/>
      <c r="B24" s="28"/>
      <c r="C24" s="28"/>
      <c r="D24" s="34"/>
      <c r="E24" s="35" t="s">
        <v>60</v>
      </c>
      <c r="F24" s="36" t="s">
        <v>61</v>
      </c>
      <c r="G24" s="37"/>
      <c r="H24" s="34"/>
      <c r="I24" s="33"/>
    </row>
    <row r="25" ht="104" customHeight="1" spans="1:9">
      <c r="A25" s="27"/>
      <c r="B25" s="28"/>
      <c r="C25" s="28"/>
      <c r="D25" s="34"/>
      <c r="E25" s="35" t="s">
        <v>62</v>
      </c>
      <c r="F25" s="36" t="s">
        <v>63</v>
      </c>
      <c r="G25" s="37"/>
      <c r="H25" s="34"/>
      <c r="I25" s="33"/>
    </row>
    <row r="26" ht="104" customHeight="1" spans="1:9">
      <c r="A26" s="27"/>
      <c r="B26" s="28"/>
      <c r="C26" s="28"/>
      <c r="D26" s="34"/>
      <c r="E26" s="34" t="s">
        <v>64</v>
      </c>
      <c r="F26" s="36" t="s">
        <v>65</v>
      </c>
      <c r="G26" s="37"/>
      <c r="H26" s="34"/>
      <c r="I26" s="33"/>
    </row>
    <row r="27" ht="104" customHeight="1" spans="1:9">
      <c r="A27" s="27"/>
      <c r="B27" s="28"/>
      <c r="C27" s="28"/>
      <c r="D27" s="34"/>
      <c r="E27" s="34" t="s">
        <v>66</v>
      </c>
      <c r="F27" s="36" t="s">
        <v>67</v>
      </c>
      <c r="G27" s="37"/>
      <c r="H27" s="34"/>
      <c r="I27" s="33"/>
    </row>
    <row r="28" ht="104" customHeight="1" spans="1:9">
      <c r="A28" s="38"/>
      <c r="B28" s="39"/>
      <c r="C28" s="39"/>
      <c r="D28" s="34"/>
      <c r="E28" s="34" t="s">
        <v>68</v>
      </c>
      <c r="F28" s="36" t="s">
        <v>67</v>
      </c>
      <c r="G28" s="40"/>
      <c r="H28" s="34"/>
      <c r="I28" s="41"/>
    </row>
  </sheetData>
  <mergeCells count="14">
    <mergeCell ref="A1:E1"/>
    <mergeCell ref="B2:C2"/>
    <mergeCell ref="B3:C3"/>
    <mergeCell ref="B4:C4"/>
    <mergeCell ref="B5:C5"/>
    <mergeCell ref="B6:E6"/>
    <mergeCell ref="A17:A28"/>
    <mergeCell ref="B10:B16"/>
    <mergeCell ref="B17:B28"/>
    <mergeCell ref="C10:C16"/>
    <mergeCell ref="C17:C28"/>
    <mergeCell ref="G17:G28"/>
    <mergeCell ref="I10:I16"/>
    <mergeCell ref="I17:I28"/>
  </mergeCells>
  <dataValidations count="2">
    <dataValidation type="list" allowBlank="1" showInputMessage="1" showErrorMessage="1" sqref="G1:G6">
      <formula1>#REF!</formula1>
    </dataValidation>
    <dataValidation type="list" allowBlank="1" showInputMessage="1" showErrorMessage="1" sqref="G10:G16">
      <formula1>"Pass,Fail,N/A"</formula1>
    </dataValidation>
  </dataValidations>
  <pageMargins left="0.7" right="0.7" top="0.75" bottom="0.75" header="0.3" footer="0.3"/>
  <headerFooter/>
  <ignoredErrors>
    <ignoredError sqref="G2" listDataValidation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Y16" sqref="Y16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红包统计明细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山寸</cp:lastModifiedBy>
  <dcterms:created xsi:type="dcterms:W3CDTF">2025-08-22T03:37:00Z</dcterms:created>
  <dcterms:modified xsi:type="dcterms:W3CDTF">2026-02-04T13:16:45Z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63DE6CE328064F3AB7938547EEC34F3B_12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