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流失引导任务优化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<sst xmlns="http://schemas.openxmlformats.org/spreadsheetml/2006/main" count="119" uniqueCount="89">
  <si>
    <t xml:space="preserve"> 流失引导任务优化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</si>
  <si>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</si>
  <si>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</si>
  <si>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</si>
  <si>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</si>
  <si>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</si>
  <si>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</si>
  <si>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</si>
  <si>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</si>
  <si>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</si>
  <si>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</si>
  <si>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</si>
  <si>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</si>
  <si>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</si>
  <si>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</si>
  <si>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</si>
  <si>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</si>
  <si>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</si>
  <si>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</si>
  <si>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</si>
  <si>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</si>
  <si>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</si>
  <si>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</si>
  <si>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账服</t>
  </si>
  <si>
    <t>流失引导任务列表</t>
  </si>
  <si>
    <t>发送频率配置入口移除</t>
  </si>
  <si>
    <t>1. 管理员登录账服
2. 进入【邮件管理】-【发送任务】-【流失引导任务】</t>
  </si>
  <si>
    <t>查看列表页</t>
  </si>
  <si>
    <t>页面不再显示原先的“发送频率配置”全局配置区域或按钮</t>
  </si>
  <si>
    <t>流失引导任务编辑</t>
  </si>
  <si>
    <t>新增“发送频率”字段</t>
  </si>
  <si>
    <t>1. 管理员登录账服
2. 进入新增或编辑任务页面</t>
  </si>
  <si>
    <t>查看任务配置表单</t>
  </si>
  <si>
    <t>表单中存在“发送频率”字段（应为数字输入框），非必填，默认值为空</t>
  </si>
  <si>
    <t>新增“最大召回次数”字段</t>
  </si>
  <si>
    <t>表单中存在“最大召回次数”字段（应为数字输入框），非必填，默认值为空</t>
  </si>
  <si>
    <t>历史任务数据迁移-发送频率</t>
  </si>
  <si>
    <t>系统升级前存在旧任务，配置了发送间隔时间（如9天）</t>
  </si>
  <si>
    <t>管理员登录后，编辑该历史任务</t>
  </si>
  <si>
    <t>编辑页面中“发送频率”字段自动填充为9（即原先配置值）</t>
  </si>
  <si>
    <t>历史任务数据迁移-最大召回次数</t>
  </si>
  <si>
    <t>系统升级前存在旧任务，配置了最大召回次数（如8次）</t>
  </si>
  <si>
    <t>编辑页面中“最大召回次数”字段自动填充为8（即原先配置值）</t>
  </si>
  <si>
    <t>“最后登录时间”字段替换</t>
  </si>
  <si>
    <t>1. 管理员登录账服
2. 进入编辑任务页面</t>
  </si>
  <si>
    <t>找到原“多少天未登录”字段</t>
  </si>
  <si>
    <t>字段已变为“最后登录时间”，并提供两个日期选择器（开始和结束），默认显示“请选择”</t>
  </si>
  <si>
    <t>最后登录时间-开始时间&gt;结束时间校验</t>
  </si>
  <si>
    <t>1. 设置开始时间为2026-03-20，结束时间为2026-03-15
2. 点击保存</t>
  </si>
  <si>
    <t>保存失败，弹出提示“开始时间不能大于结束时间”</t>
  </si>
  <si>
    <t>最后登录时间-合法区间保存</t>
  </si>
  <si>
    <t>1. 设置开始时间为2026-03-15，结束时间为2026-03-20
2. 保存</t>
  </si>
  <si>
    <t>保存成功，任务配置生效</t>
  </si>
  <si>
    <t>新增条件“可领取亏损返还奖励”</t>
  </si>
  <si>
    <t>查看表单</t>
  </si>
  <si>
    <t>存在“可领取亏损返还奖励”字段，包含两个金额输入框（最小和最大），非必填，默认值为空</t>
  </si>
  <si>
    <t>新增条件“可领取vip晋升级周月礼金”</t>
  </si>
  <si>
    <t>存在“可领取vip晋升级周月礼金”字段，包含两个金额输入框（最小和最大），非必填，默认值为空</t>
  </si>
  <si>
    <t>金额区间输入合法性校验</t>
  </si>
  <si>
    <t>1. 在“可领取亏损返还奖励”中设置最小值大于最大值（如100-50）
2. 点击保存</t>
  </si>
  <si>
    <t>保存失败，弹出提示“最小值不能大于最大值”</t>
  </si>
  <si>
    <t>金额区间保存成功</t>
  </si>
  <si>
    <t>1. 设置“可领取亏损返还奖励”为50-200
2. 保存</t>
  </si>
  <si>
    <t>保存成功</t>
  </si>
  <si>
    <t>列表显示新增字段</t>
  </si>
  <si>
    <t>1. 管理员登录账服
2. 进入流失引导任务列表页
3. 存在配置了新条件的任务</t>
  </si>
  <si>
    <t>查看列表表格</t>
  </si>
  <si>
    <t>列表表头中包含“最后登录时间”、“可领取亏损返还奖励”、“可领取vip晋升级周月礼金”、“发送频率”、“最大召回次数”等字段，并正确显示各任务的配置值</t>
  </si>
  <si>
    <t>列表显示区间值格式</t>
  </si>
  <si>
    <t>1. 管理员登录账服
2. 存在设置了区间条件的任务</t>
  </si>
  <si>
    <t>查看列表对应列</t>
  </si>
  <si>
    <t>区间值以“最小值 - 最大值”格式显示，如“50 - 200”</t>
  </si>
  <si>
    <t>列表显示日期区间格式</t>
  </si>
  <si>
    <t>1. 管理员登录账服
2. 存在设置了最后登录时间区间的任务</t>
  </si>
  <si>
    <t>查看“最后登录时间”列</t>
  </si>
  <si>
    <t>日期以“YYYY-MM-DD - YYYY-MM-DD”格式显示</t>
  </si>
  <si>
    <t>流失引导任务发送</t>
  </si>
  <si>
    <t>新增条件参与筛选逻辑</t>
  </si>
  <si>
    <t>1. 创建任务，配置“可领取亏损返还奖励”区间为100-500
2. 准备用户A（可领取亏损返还奖励200）、用户B（可领取亏损返还奖励600）</t>
  </si>
  <si>
    <t>执行该任务</t>
  </si>
  <si>
    <t>只有用户A符合条件，收到邮件</t>
  </si>
  <si>
    <t>多条件组合筛选</t>
  </si>
  <si>
    <t>1. 创建任务，配置多个条件（最后登录时间、亏损返还奖励、VIP礼金等）
2. 准备多个满足不同组合的用户</t>
  </si>
  <si>
    <t>执行任务</t>
  </si>
  <si>
    <t>只有同时满足所有已配置条件的用户才收到邮件</t>
  </si>
  <si>
    <t>保存后回显正确</t>
  </si>
  <si>
    <t>1. 管理员登录账服
2. 编辑一个任务，修改多个新字段的值并保存</t>
  </si>
  <si>
    <t>重新进入该任务的编辑页面</t>
  </si>
  <si>
    <t>所有修改后的字段值正确回显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</si>
</sst>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0" borderId="9" xfId="0" applyFont="1" applyBorder="1">
      <alignment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" fillId="0" borderId="6" xfId="0" applyFont="1" applyBorder="1">
      <alignment vertical="center"/>
    </xf>
    <xf numFmtId="0" fontId="1" fillId="0" borderId="9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8" fillId="4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1" fillId="0" borderId="2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932180</xdr:colOff>
      <xdr:row>7</xdr:row>
      <xdr:rowOff>280035</xdr:rowOff>
    </xdr:from>
    <xdr:to>
      <xdr:col>8</xdr:col>
      <xdr:colOff>1857375</xdr:colOff>
      <xdr:row>8</xdr:row>
      <xdr:rowOff>276225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763605" y="1661160"/>
          <a:ext cx="925195" cy="440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901700</xdr:colOff>
      <xdr:row>9</xdr:row>
      <xdr:rowOff>281305</xdr:rowOff>
    </xdr:from>
    <xdr:to>
      <xdr:col>8</xdr:col>
      <xdr:colOff>1800225</xdr:colOff>
      <xdr:row>10</xdr:row>
      <xdr:rowOff>304800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733125" y="2551430"/>
          <a:ext cx="898525" cy="467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933450</xdr:colOff>
      <xdr:row>11</xdr:row>
      <xdr:rowOff>234950</xdr:rowOff>
    </xdr:from>
    <xdr:to>
      <xdr:col>8</xdr:col>
      <xdr:colOff>1831975</xdr:colOff>
      <xdr:row>12</xdr:row>
      <xdr:rowOff>258445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764875" y="3394075"/>
          <a:ext cx="898525" cy="467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809625</xdr:colOff>
      <xdr:row>13</xdr:row>
      <xdr:rowOff>344170</xdr:rowOff>
    </xdr:from>
    <xdr:to>
      <xdr:col>8</xdr:col>
      <xdr:colOff>1914525</xdr:colOff>
      <xdr:row>13</xdr:row>
      <xdr:rowOff>781050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641050" y="4392295"/>
          <a:ext cx="1104900" cy="436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704850</xdr:colOff>
      <xdr:row>14</xdr:row>
      <xdr:rowOff>257175</xdr:rowOff>
    </xdr:from>
    <xdr:to>
      <xdr:col>8</xdr:col>
      <xdr:colOff>1657985</xdr:colOff>
      <xdr:row>14</xdr:row>
      <xdr:rowOff>704850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536275" y="5283200"/>
          <a:ext cx="953135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755015</xdr:colOff>
      <xdr:row>15</xdr:row>
      <xdr:rowOff>281940</xdr:rowOff>
    </xdr:from>
    <xdr:to>
      <xdr:col>8</xdr:col>
      <xdr:colOff>1514475</xdr:colOff>
      <xdr:row>16</xdr:row>
      <xdr:rowOff>196850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586440" y="6146165"/>
          <a:ext cx="759460" cy="359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861060</xdr:colOff>
      <xdr:row>17</xdr:row>
      <xdr:rowOff>297180</xdr:rowOff>
    </xdr:from>
    <xdr:to>
      <xdr:col>8</xdr:col>
      <xdr:colOff>1885950</xdr:colOff>
      <xdr:row>18</xdr:row>
      <xdr:rowOff>244475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692485" y="7050405"/>
          <a:ext cx="1024890" cy="391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789940</xdr:colOff>
      <xdr:row>19</xdr:row>
      <xdr:rowOff>263525</xdr:rowOff>
    </xdr:from>
    <xdr:to>
      <xdr:col>8</xdr:col>
      <xdr:colOff>1876425</xdr:colOff>
      <xdr:row>20</xdr:row>
      <xdr:rowOff>339725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621365" y="7905750"/>
          <a:ext cx="1086485" cy="520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1049020</xdr:colOff>
      <xdr:row>21</xdr:row>
      <xdr:rowOff>167005</xdr:rowOff>
    </xdr:from>
    <xdr:to>
      <xdr:col>8</xdr:col>
      <xdr:colOff>2057400</xdr:colOff>
      <xdr:row>22</xdr:row>
      <xdr:rowOff>130175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880445" y="8698230"/>
          <a:ext cx="1008380" cy="407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765175</xdr:colOff>
      <xdr:row>23</xdr:row>
      <xdr:rowOff>309245</xdr:rowOff>
    </xdr:from>
    <xdr:to>
      <xdr:col>8</xdr:col>
      <xdr:colOff>1876425</xdr:colOff>
      <xdr:row>24</xdr:row>
      <xdr:rowOff>250825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596600" y="9729470"/>
          <a:ext cx="1111250" cy="386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932815</xdr:colOff>
      <xdr:row>25</xdr:row>
      <xdr:rowOff>205740</xdr:rowOff>
    </xdr:from>
    <xdr:to>
      <xdr:col>8</xdr:col>
      <xdr:colOff>1981200</xdr:colOff>
      <xdr:row>26</xdr:row>
      <xdr:rowOff>203200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764240" y="10514965"/>
          <a:ext cx="1048385" cy="441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849630</xdr:colOff>
      <xdr:row>27</xdr:row>
      <xdr:rowOff>311150</xdr:rowOff>
    </xdr:from>
    <xdr:to>
      <xdr:col>8</xdr:col>
      <xdr:colOff>1828800</xdr:colOff>
      <xdr:row>28</xdr:row>
      <xdr:rowOff>285750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681055" y="11509375"/>
          <a:ext cx="979170" cy="41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429260</xdr:colOff>
      <xdr:row>29</xdr:row>
      <xdr:rowOff>430530</xdr:rowOff>
    </xdr:from>
    <xdr:to>
      <xdr:col>8</xdr:col>
      <xdr:colOff>972185</xdr:colOff>
      <xdr:row>31</xdr:row>
      <xdr:rowOff>79375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260685" y="12517755"/>
          <a:ext cx="542925" cy="537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1644015</xdr:colOff>
      <xdr:row>29</xdr:row>
      <xdr:rowOff>405765</xdr:rowOff>
    </xdr:from>
    <xdr:to>
      <xdr:col>8</xdr:col>
      <xdr:colOff>2353310</xdr:colOff>
      <xdr:row>31</xdr:row>
      <xdr:rowOff>101600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475440" y="12492990"/>
          <a:ext cx="709295" cy="584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749300</xdr:colOff>
      <xdr:row>32</xdr:row>
      <xdr:rowOff>94615</xdr:rowOff>
    </xdr:from>
    <xdr:to>
      <xdr:col>8</xdr:col>
      <xdr:colOff>1657350</xdr:colOff>
      <xdr:row>33</xdr:row>
      <xdr:rowOff>307975</xdr:rowOff>
    </xdr:to>
    <xdr:pic>
      <xdr:nvPicPr>
        <xdr:cNvPr id="17" name="图片 1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580725" y="13515340"/>
          <a:ext cx="908050" cy="65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650875</xdr:colOff>
      <xdr:row>34</xdr:row>
      <xdr:rowOff>121920</xdr:rowOff>
    </xdr:from>
    <xdr:to>
      <xdr:col>8</xdr:col>
      <xdr:colOff>1838325</xdr:colOff>
      <xdr:row>35</xdr:row>
      <xdr:rowOff>247650</xdr:rowOff>
    </xdr:to>
    <xdr:pic>
      <xdr:nvPicPr>
        <xdr:cNvPr id="18" name="图片 1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482300" y="14596745"/>
          <a:ext cx="1187450" cy="570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807085</xdr:colOff>
      <xdr:row>40</xdr:row>
      <xdr:rowOff>234315</xdr:rowOff>
    </xdr:from>
    <xdr:to>
      <xdr:col>8</xdr:col>
      <xdr:colOff>1562100</xdr:colOff>
      <xdr:row>41</xdr:row>
      <xdr:rowOff>307975</xdr:rowOff>
    </xdr:to>
    <xdr:pic>
      <xdr:nvPicPr>
        <xdr:cNvPr id="19" name="图片 1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638510" y="17642840"/>
          <a:ext cx="755015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955040</xdr:colOff>
      <xdr:row>36</xdr:row>
      <xdr:rowOff>365125</xdr:rowOff>
    </xdr:from>
    <xdr:to>
      <xdr:col>8</xdr:col>
      <xdr:colOff>1981200</xdr:colOff>
      <xdr:row>37</xdr:row>
      <xdr:rowOff>422275</xdr:rowOff>
    </xdr:to>
    <xdr:pic>
      <xdr:nvPicPr>
        <xdr:cNvPr id="16" name="图片 15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3786465" y="15728950"/>
          <a:ext cx="1026160" cy="501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1066800</xdr:colOff>
      <xdr:row>38</xdr:row>
      <xdr:rowOff>139700</xdr:rowOff>
    </xdr:from>
    <xdr:to>
      <xdr:col>8</xdr:col>
      <xdr:colOff>2092960</xdr:colOff>
      <xdr:row>39</xdr:row>
      <xdr:rowOff>196850</xdr:rowOff>
    </xdr:to>
    <xdr:pic>
      <xdr:nvPicPr>
        <xdr:cNvPr id="21" name="图片 2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3898225" y="16659225"/>
          <a:ext cx="1026160" cy="501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"/>
  <sheetViews>
    <sheetView tabSelected="1" topLeftCell="B1" workbookViewId="0">
      <pane ySplit="7" topLeftCell="A34" activePane="bottomLeft" state="frozen"/>
      <selection/>
      <selection pane="bottomLeft" activeCell="F39" sqref="F39:F40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9.125" style="1" customWidth="1"/>
    <col min="8" max="8" width="18.375" style="3" customWidth="1"/>
    <col min="9" max="9" width="36.125" style="1" customWidth="1"/>
    <col min="10" max="16384" width="9" style="1"/>
  </cols>
  <sheetData>
    <row r="1" s="1" customFormat="1" ht="16.5" customHeight="1" spans="1:9">
      <c r="A1" s="4" t="s">
        <v>0</v>
      </c>
      <c r="B1" s="5"/>
      <c r="C1" s="5"/>
      <c r="D1" s="5"/>
      <c r="E1" s="5"/>
      <c r="F1" s="5"/>
      <c r="G1" s="6" t="s">
        <v>1</v>
      </c>
      <c r="H1" s="7">
        <f>H2+H3+H4</f>
        <v>18</v>
      </c>
      <c r="I1" s="8"/>
    </row>
    <row r="2" s="1" customFormat="1" spans="1:9">
      <c r="A2" s="9" t="s">
        <v>2</v>
      </c>
      <c r="B2" s="10"/>
      <c r="C2" s="11"/>
      <c r="D2" s="11"/>
      <c r="E2" s="12" t="s">
        <v>3</v>
      </c>
      <c r="F2" s="13">
        <v>46097</v>
      </c>
      <c r="G2" s="14" t="s">
        <v>4</v>
      </c>
      <c r="H2" s="15">
        <f>COUNTIF(H8:H236,"Pass")</f>
        <v>18</v>
      </c>
      <c r="I2" s="8"/>
    </row>
    <row r="3" s="1" customFormat="1" ht="16.5" customHeight="1" spans="1:9">
      <c r="A3" s="16" t="s">
        <v>5</v>
      </c>
      <c r="B3" s="10"/>
      <c r="C3" s="11"/>
      <c r="D3" s="11"/>
      <c r="E3" s="17" t="s">
        <v>6</v>
      </c>
      <c r="F3" s="18"/>
      <c r="G3" s="19" t="s">
        <v>7</v>
      </c>
      <c r="H3" s="20">
        <f>COUNTIF(H8:H236,"Fail")</f>
        <v>0</v>
      </c>
      <c r="I3" s="8"/>
    </row>
    <row r="4" s="1" customFormat="1" ht="16.5" customHeight="1" spans="1:9">
      <c r="A4" s="21" t="s">
        <v>8</v>
      </c>
      <c r="B4" s="22"/>
      <c r="C4" s="11"/>
      <c r="D4" s="11"/>
      <c r="E4" s="23" t="s">
        <v>9</v>
      </c>
      <c r="F4" s="24"/>
      <c r="G4" s="25" t="s">
        <v>10</v>
      </c>
      <c r="H4" s="26">
        <f>COUNTIF(H8:H236,"N/A")</f>
        <v>0</v>
      </c>
      <c r="I4" s="8"/>
    </row>
    <row r="5" s="1" customFormat="1" ht="16.5" customHeight="1" spans="1:9">
      <c r="A5" s="16" t="s">
        <v>11</v>
      </c>
      <c r="B5" s="10"/>
      <c r="C5" s="11"/>
      <c r="D5" s="11"/>
      <c r="E5" s="17" t="s">
        <v>12</v>
      </c>
      <c r="F5" s="27"/>
      <c r="G5" s="8"/>
      <c r="H5" s="28"/>
      <c r="I5" s="8"/>
    </row>
    <row r="6" s="1" customFormat="1" spans="1:9">
      <c r="A6" s="29" t="s">
        <v>13</v>
      </c>
      <c r="B6" s="30"/>
      <c r="C6" s="31"/>
      <c r="D6" s="32"/>
      <c r="E6" s="33"/>
      <c r="F6" s="33"/>
      <c r="G6" s="34"/>
      <c r="H6" s="28"/>
      <c r="I6" s="8"/>
    </row>
    <row r="7" spans="1:9">
      <c r="A7" s="35" t="s">
        <v>14</v>
      </c>
      <c r="B7" s="35" t="s">
        <v>15</v>
      </c>
      <c r="C7" s="35" t="s">
        <v>16</v>
      </c>
      <c r="D7" s="35" t="s">
        <v>17</v>
      </c>
      <c r="E7" s="35" t="s">
        <v>18</v>
      </c>
      <c r="F7" s="35" t="s">
        <v>19</v>
      </c>
      <c r="G7" s="35" t="s">
        <v>20</v>
      </c>
      <c r="H7" s="35" t="s">
        <v>21</v>
      </c>
      <c r="I7" s="35" t="s">
        <v>22</v>
      </c>
    </row>
    <row r="8" ht="35" customHeight="1" spans="1:9">
      <c r="A8" s="36">
        <v>1</v>
      </c>
      <c r="B8" s="37" t="s">
        <v>23</v>
      </c>
      <c r="C8" s="38" t="s">
        <v>24</v>
      </c>
      <c r="D8" s="38" t="s">
        <v>25</v>
      </c>
      <c r="E8" s="39" t="s">
        <v>26</v>
      </c>
      <c r="F8" s="38" t="s">
        <v>27</v>
      </c>
      <c r="G8" s="38" t="s">
        <v>28</v>
      </c>
      <c r="H8" s="40" t="s">
        <v>4</v>
      </c>
      <c r="I8" s="41"/>
    </row>
    <row r="9" ht="35" customHeight="1" spans="1:9">
      <c r="A9" s="36"/>
      <c r="B9" s="42"/>
      <c r="C9" s="38"/>
      <c r="D9" s="38"/>
      <c r="E9" s="43"/>
      <c r="F9" s="38"/>
      <c r="G9" s="38"/>
      <c r="H9" s="44"/>
      <c r="I9" s="45"/>
    </row>
    <row r="10" ht="35" customHeight="1" spans="1:9">
      <c r="A10" s="36">
        <v>2</v>
      </c>
      <c r="B10" s="42"/>
      <c r="C10" s="37" t="s">
        <v>29</v>
      </c>
      <c r="D10" s="38" t="s">
        <v>30</v>
      </c>
      <c r="E10" s="39" t="s">
        <v>31</v>
      </c>
      <c r="F10" s="38" t="s">
        <v>32</v>
      </c>
      <c r="G10" s="38" t="s">
        <v>33</v>
      </c>
      <c r="H10" s="40" t="s">
        <v>4</v>
      </c>
      <c r="I10" s="41"/>
    </row>
    <row r="11" ht="35" customHeight="1" spans="1:9">
      <c r="A11" s="36"/>
      <c r="B11" s="42"/>
      <c r="C11" s="42"/>
      <c r="D11" s="38"/>
      <c r="E11" s="43"/>
      <c r="F11" s="38"/>
      <c r="G11" s="38"/>
      <c r="H11" s="44"/>
      <c r="I11" s="45"/>
    </row>
    <row r="12" ht="35" customHeight="1" spans="1:9">
      <c r="A12" s="36">
        <v>3</v>
      </c>
      <c r="B12" s="42"/>
      <c r="C12" s="42"/>
      <c r="D12" s="38" t="s">
        <v>34</v>
      </c>
      <c r="E12" s="39" t="s">
        <v>31</v>
      </c>
      <c r="F12" s="38" t="s">
        <v>32</v>
      </c>
      <c r="G12" s="38" t="s">
        <v>35</v>
      </c>
      <c r="H12" s="40" t="s">
        <v>4</v>
      </c>
      <c r="I12" s="46"/>
    </row>
    <row r="13" ht="35" customHeight="1" spans="1:9">
      <c r="A13" s="36"/>
      <c r="B13" s="42"/>
      <c r="C13" s="42"/>
      <c r="D13" s="38"/>
      <c r="E13" s="43"/>
      <c r="F13" s="38"/>
      <c r="G13" s="38"/>
      <c r="H13" s="44"/>
      <c r="I13" s="47"/>
    </row>
    <row r="14" ht="77" customHeight="1" spans="1:9">
      <c r="A14" s="36">
        <v>4</v>
      </c>
      <c r="B14" s="42"/>
      <c r="C14" s="42"/>
      <c r="D14" s="38" t="s">
        <v>36</v>
      </c>
      <c r="E14" s="38" t="s">
        <v>37</v>
      </c>
      <c r="F14" s="38" t="s">
        <v>38</v>
      </c>
      <c r="G14" s="38" t="s">
        <v>39</v>
      </c>
      <c r="H14" s="48" t="s">
        <v>4</v>
      </c>
      <c r="I14" s="49"/>
    </row>
    <row r="15" ht="66" customHeight="1" spans="1:9">
      <c r="A15" s="36">
        <v>5</v>
      </c>
      <c r="B15" s="42"/>
      <c r="C15" s="42"/>
      <c r="D15" s="38" t="s">
        <v>40</v>
      </c>
      <c r="E15" s="38" t="s">
        <v>41</v>
      </c>
      <c r="F15" s="38" t="s">
        <v>38</v>
      </c>
      <c r="G15" s="38" t="s">
        <v>42</v>
      </c>
      <c r="H15" s="48" t="s">
        <v>4</v>
      </c>
      <c r="I15" s="50"/>
    </row>
    <row r="16" ht="35" customHeight="1" spans="1:9">
      <c r="A16" s="36">
        <v>6</v>
      </c>
      <c r="B16" s="42"/>
      <c r="C16" s="42"/>
      <c r="D16" s="38" t="s">
        <v>43</v>
      </c>
      <c r="E16" s="39" t="s">
        <v>44</v>
      </c>
      <c r="F16" s="38" t="s">
        <v>45</v>
      </c>
      <c r="G16" s="38" t="s">
        <v>46</v>
      </c>
      <c r="H16" s="40" t="s">
        <v>4</v>
      </c>
      <c r="I16" s="51"/>
    </row>
    <row r="17" ht="35" customHeight="1" spans="1:9">
      <c r="A17" s="36"/>
      <c r="B17" s="42"/>
      <c r="C17" s="42"/>
      <c r="D17" s="38"/>
      <c r="E17" s="43"/>
      <c r="F17" s="38"/>
      <c r="G17" s="38"/>
      <c r="H17" s="44"/>
      <c r="I17" s="52"/>
    </row>
    <row r="18" ht="35" customHeight="1" spans="1:9">
      <c r="A18" s="36">
        <v>7</v>
      </c>
      <c r="B18" s="42"/>
      <c r="C18" s="42"/>
      <c r="D18" s="38" t="s">
        <v>47</v>
      </c>
      <c r="E18" s="39" t="s">
        <v>44</v>
      </c>
      <c r="F18" s="39" t="s">
        <v>48</v>
      </c>
      <c r="G18" s="38" t="s">
        <v>49</v>
      </c>
      <c r="H18" s="40" t="s">
        <v>4</v>
      </c>
      <c r="I18" s="51"/>
    </row>
    <row r="19" ht="35" customHeight="1" spans="1:9">
      <c r="A19" s="36"/>
      <c r="B19" s="42"/>
      <c r="C19" s="42"/>
      <c r="D19" s="38"/>
      <c r="E19" s="43"/>
      <c r="F19" s="43"/>
      <c r="G19" s="38"/>
      <c r="H19" s="44"/>
      <c r="I19" s="52"/>
    </row>
    <row r="20" ht="35" customHeight="1" spans="1:9">
      <c r="A20" s="36">
        <v>8</v>
      </c>
      <c r="B20" s="42"/>
      <c r="C20" s="42"/>
      <c r="D20" s="38" t="s">
        <v>50</v>
      </c>
      <c r="E20" s="39" t="s">
        <v>44</v>
      </c>
      <c r="F20" s="39" t="s">
        <v>51</v>
      </c>
      <c r="G20" s="38" t="s">
        <v>52</v>
      </c>
      <c r="H20" s="40" t="s">
        <v>4</v>
      </c>
      <c r="I20" s="53"/>
    </row>
    <row r="21" ht="35" customHeight="1" spans="1:9">
      <c r="A21" s="36"/>
      <c r="B21" s="42"/>
      <c r="C21" s="42"/>
      <c r="D21" s="38"/>
      <c r="E21" s="43"/>
      <c r="F21" s="43"/>
      <c r="G21" s="38"/>
      <c r="H21" s="44"/>
      <c r="I21" s="54"/>
    </row>
    <row r="22" ht="35" customHeight="1" spans="1:9">
      <c r="A22" s="36">
        <v>9</v>
      </c>
      <c r="B22" s="42"/>
      <c r="C22" s="42"/>
      <c r="D22" s="38" t="s">
        <v>53</v>
      </c>
      <c r="E22" s="39" t="s">
        <v>31</v>
      </c>
      <c r="F22" s="38" t="s">
        <v>54</v>
      </c>
      <c r="G22" s="38" t="s">
        <v>55</v>
      </c>
      <c r="H22" s="40" t="s">
        <v>4</v>
      </c>
      <c r="I22" s="53"/>
    </row>
    <row r="23" ht="35" customHeight="1" spans="1:9">
      <c r="A23" s="36"/>
      <c r="B23" s="42"/>
      <c r="C23" s="42"/>
      <c r="D23" s="38"/>
      <c r="E23" s="43"/>
      <c r="F23" s="38"/>
      <c r="G23" s="38"/>
      <c r="H23" s="44"/>
      <c r="I23" s="54"/>
    </row>
    <row r="24" ht="35" customHeight="1" spans="1:9">
      <c r="A24" s="36">
        <v>10</v>
      </c>
      <c r="B24" s="42"/>
      <c r="C24" s="42"/>
      <c r="D24" s="38" t="s">
        <v>56</v>
      </c>
      <c r="E24" s="39" t="s">
        <v>31</v>
      </c>
      <c r="F24" s="38" t="s">
        <v>54</v>
      </c>
      <c r="G24" s="38" t="s">
        <v>57</v>
      </c>
      <c r="H24" s="40" t="s">
        <v>4</v>
      </c>
      <c r="I24" s="53"/>
    </row>
    <row r="25" ht="35" customHeight="1" spans="1:9">
      <c r="A25" s="36"/>
      <c r="B25" s="42"/>
      <c r="C25" s="42"/>
      <c r="D25" s="38"/>
      <c r="E25" s="43"/>
      <c r="F25" s="38"/>
      <c r="G25" s="38"/>
      <c r="H25" s="44"/>
      <c r="I25" s="54"/>
    </row>
    <row r="26" ht="35" customHeight="1" spans="1:9">
      <c r="A26" s="36">
        <v>11</v>
      </c>
      <c r="B26" s="42"/>
      <c r="C26" s="42"/>
      <c r="D26" s="38" t="s">
        <v>58</v>
      </c>
      <c r="E26" s="39" t="s">
        <v>44</v>
      </c>
      <c r="F26" s="39" t="s">
        <v>59</v>
      </c>
      <c r="G26" s="38" t="s">
        <v>60</v>
      </c>
      <c r="H26" s="40" t="s">
        <v>4</v>
      </c>
      <c r="I26" s="53"/>
    </row>
    <row r="27" ht="35" customHeight="1" spans="1:9">
      <c r="A27" s="36"/>
      <c r="B27" s="42"/>
      <c r="C27" s="42"/>
      <c r="D27" s="38"/>
      <c r="E27" s="43"/>
      <c r="F27" s="43"/>
      <c r="G27" s="38"/>
      <c r="H27" s="44"/>
      <c r="I27" s="54"/>
    </row>
    <row r="28" ht="35" customHeight="1" spans="1:9">
      <c r="A28" s="36">
        <v>12</v>
      </c>
      <c r="B28" s="42"/>
      <c r="C28" s="42"/>
      <c r="D28" s="38" t="s">
        <v>61</v>
      </c>
      <c r="E28" s="39" t="s">
        <v>44</v>
      </c>
      <c r="F28" s="39" t="s">
        <v>62</v>
      </c>
      <c r="G28" s="38" t="s">
        <v>63</v>
      </c>
      <c r="H28" s="40" t="s">
        <v>4</v>
      </c>
      <c r="I28" s="53"/>
    </row>
    <row r="29" ht="35" customHeight="1" spans="1:9">
      <c r="A29" s="36"/>
      <c r="B29" s="42"/>
      <c r="C29" s="55"/>
      <c r="D29" s="38"/>
      <c r="E29" s="43"/>
      <c r="F29" s="43"/>
      <c r="G29" s="38"/>
      <c r="H29" s="44"/>
      <c r="I29" s="54"/>
    </row>
    <row r="30" ht="35" customHeight="1" spans="1:9">
      <c r="A30" s="36">
        <v>13</v>
      </c>
      <c r="B30" s="42"/>
      <c r="C30" s="37" t="s">
        <v>24</v>
      </c>
      <c r="D30" s="38" t="s">
        <v>64</v>
      </c>
      <c r="E30" s="39" t="s">
        <v>65</v>
      </c>
      <c r="F30" s="38" t="s">
        <v>66</v>
      </c>
      <c r="G30" s="38" t="s">
        <v>67</v>
      </c>
      <c r="H30" s="40" t="s">
        <v>4</v>
      </c>
      <c r="I30" s="53"/>
    </row>
    <row r="31" ht="35" customHeight="1" spans="1:9">
      <c r="A31" s="36"/>
      <c r="B31" s="42"/>
      <c r="C31" s="42"/>
      <c r="D31" s="38"/>
      <c r="E31" s="56"/>
      <c r="F31" s="38"/>
      <c r="G31" s="38"/>
      <c r="H31" s="57"/>
      <c r="I31" s="58"/>
    </row>
    <row r="32" ht="35" customHeight="1" spans="1:9">
      <c r="A32" s="36"/>
      <c r="B32" s="42"/>
      <c r="C32" s="42"/>
      <c r="D32" s="38"/>
      <c r="E32" s="43"/>
      <c r="F32" s="38"/>
      <c r="G32" s="38"/>
      <c r="H32" s="44"/>
      <c r="I32" s="54"/>
    </row>
    <row r="33" ht="35" customHeight="1" spans="1:9">
      <c r="A33" s="36">
        <v>14</v>
      </c>
      <c r="B33" s="42"/>
      <c r="C33" s="42"/>
      <c r="D33" s="38" t="s">
        <v>68</v>
      </c>
      <c r="E33" s="39" t="s">
        <v>69</v>
      </c>
      <c r="F33" s="38" t="s">
        <v>70</v>
      </c>
      <c r="G33" s="38" t="s">
        <v>71</v>
      </c>
      <c r="H33" s="40" t="s">
        <v>4</v>
      </c>
      <c r="I33" s="51"/>
    </row>
    <row r="34" ht="48" customHeight="1" spans="1:9">
      <c r="A34" s="36"/>
      <c r="B34" s="42"/>
      <c r="C34" s="42"/>
      <c r="D34" s="38"/>
      <c r="E34" s="43"/>
      <c r="F34" s="38"/>
      <c r="G34" s="38"/>
      <c r="H34" s="44"/>
      <c r="I34" s="52"/>
    </row>
    <row r="35" ht="35" customHeight="1" spans="1:9">
      <c r="A35" s="36">
        <v>15</v>
      </c>
      <c r="B35" s="42"/>
      <c r="C35" s="42"/>
      <c r="D35" s="38" t="s">
        <v>72</v>
      </c>
      <c r="E35" s="39" t="s">
        <v>73</v>
      </c>
      <c r="F35" s="38" t="s">
        <v>74</v>
      </c>
      <c r="G35" s="38" t="s">
        <v>75</v>
      </c>
      <c r="H35" s="40" t="s">
        <v>4</v>
      </c>
      <c r="I35" s="51"/>
    </row>
    <row r="36" ht="35" customHeight="1" spans="1:9">
      <c r="A36" s="36"/>
      <c r="B36" s="42"/>
      <c r="C36" s="55"/>
      <c r="D36" s="38"/>
      <c r="E36" s="43"/>
      <c r="F36" s="38"/>
      <c r="G36" s="38"/>
      <c r="H36" s="44"/>
      <c r="I36" s="52"/>
    </row>
    <row r="37" ht="35" customHeight="1" spans="1:9">
      <c r="A37" s="36">
        <v>16</v>
      </c>
      <c r="B37" s="42"/>
      <c r="C37" s="37" t="s">
        <v>76</v>
      </c>
      <c r="D37" s="38" t="s">
        <v>77</v>
      </c>
      <c r="E37" s="39" t="s">
        <v>78</v>
      </c>
      <c r="F37" s="38" t="s">
        <v>79</v>
      </c>
      <c r="G37" s="38" t="s">
        <v>80</v>
      </c>
      <c r="H37" s="40" t="s">
        <v>4</v>
      </c>
      <c r="I37" s="51"/>
    </row>
    <row r="38" ht="56" customHeight="1" spans="1:9">
      <c r="A38" s="36"/>
      <c r="B38" s="42"/>
      <c r="C38" s="42"/>
      <c r="D38" s="38"/>
      <c r="E38" s="43"/>
      <c r="F38" s="38"/>
      <c r="G38" s="38"/>
      <c r="H38" s="44"/>
      <c r="I38" s="52"/>
    </row>
    <row r="39" ht="35" customHeight="1" spans="1:9">
      <c r="A39" s="36">
        <v>17</v>
      </c>
      <c r="B39" s="42"/>
      <c r="C39" s="42"/>
      <c r="D39" s="38" t="s">
        <v>81</v>
      </c>
      <c r="E39" s="39" t="s">
        <v>82</v>
      </c>
      <c r="F39" s="38" t="s">
        <v>83</v>
      </c>
      <c r="G39" s="38" t="s">
        <v>84</v>
      </c>
      <c r="H39" s="40" t="s">
        <v>4</v>
      </c>
      <c r="I39" s="51"/>
    </row>
    <row r="40" ht="35" customHeight="1" spans="1:9">
      <c r="A40" s="36"/>
      <c r="B40" s="42"/>
      <c r="C40" s="55"/>
      <c r="D40" s="38"/>
      <c r="E40" s="43"/>
      <c r="F40" s="38"/>
      <c r="G40" s="38"/>
      <c r="H40" s="44"/>
      <c r="I40" s="52"/>
    </row>
    <row r="41" ht="35" customHeight="1" spans="1:9">
      <c r="A41" s="36">
        <v>18</v>
      </c>
      <c r="B41" s="42"/>
      <c r="C41" s="38" t="s">
        <v>29</v>
      </c>
      <c r="D41" s="38" t="s">
        <v>85</v>
      </c>
      <c r="E41" s="39" t="s">
        <v>86</v>
      </c>
      <c r="F41" s="38" t="s">
        <v>87</v>
      </c>
      <c r="G41" s="38" t="s">
        <v>88</v>
      </c>
      <c r="H41" s="40" t="s">
        <v>4</v>
      </c>
      <c r="I41" s="51"/>
    </row>
    <row r="42" ht="35" customHeight="1" spans="1:9">
      <c r="A42" s="36"/>
      <c r="B42" s="55"/>
      <c r="C42" s="38"/>
      <c r="D42" s="38"/>
      <c r="E42" s="43"/>
      <c r="F42" s="38"/>
      <c r="G42" s="38"/>
      <c r="H42" s="44"/>
      <c r="I42" s="52"/>
    </row>
    <row r="43" ht="35" customHeight="1" spans="1:9">
      <c r="A43" s="59"/>
      <c r="B43" s="59"/>
      <c r="C43" s="52"/>
      <c r="D43" s="52"/>
      <c r="E43" s="52"/>
      <c r="F43" s="52"/>
      <c r="G43" s="52"/>
      <c r="H43" s="48"/>
      <c r="I43" s="50"/>
    </row>
    <row r="44" ht="35" customHeight="1" spans="1:9">
      <c r="A44" s="60"/>
      <c r="B44" s="59"/>
      <c r="C44" s="52"/>
      <c r="D44" s="52"/>
      <c r="E44" s="52"/>
      <c r="F44" s="52"/>
      <c r="G44" s="52"/>
      <c r="H44" s="48"/>
      <c r="I44" s="50"/>
    </row>
    <row r="45" ht="35" customHeight="1" spans="1:9">
      <c r="A45" s="60"/>
      <c r="B45" s="59"/>
      <c r="C45" s="52"/>
      <c r="D45" s="52"/>
      <c r="E45" s="52"/>
      <c r="F45" s="52"/>
      <c r="G45" s="52"/>
      <c r="H45" s="48"/>
      <c r="I45" s="50"/>
    </row>
    <row r="46" ht="35" customHeight="1" spans="1:9">
      <c r="A46" s="60"/>
      <c r="B46" s="59"/>
      <c r="C46" s="52"/>
      <c r="D46" s="52"/>
      <c r="E46" s="52"/>
      <c r="F46" s="52"/>
      <c r="G46" s="52"/>
      <c r="H46" s="48"/>
      <c r="I46" s="50"/>
    </row>
    <row r="47" ht="35" customHeight="1" spans="1:9">
      <c r="A47" s="60"/>
      <c r="B47" s="59"/>
      <c r="C47" s="52"/>
      <c r="D47" s="52"/>
      <c r="E47" s="52"/>
      <c r="F47" s="52"/>
      <c r="G47" s="52"/>
      <c r="H47" s="48"/>
      <c r="I47" s="50"/>
    </row>
    <row r="48" ht="35" customHeight="1" spans="1:9">
      <c r="A48" s="60"/>
      <c r="B48" s="59"/>
      <c r="C48" s="52"/>
      <c r="D48" s="52"/>
      <c r="E48" s="52"/>
      <c r="F48" s="52"/>
      <c r="G48" s="52"/>
      <c r="H48" s="48"/>
      <c r="I48" s="50"/>
    </row>
    <row r="49" ht="35" customHeight="1" spans="1:9">
      <c r="A49" s="60"/>
      <c r="B49" s="59"/>
      <c r="C49" s="52"/>
      <c r="D49" s="52"/>
      <c r="E49" s="52"/>
      <c r="F49" s="52"/>
      <c r="G49" s="52"/>
      <c r="H49" s="48"/>
      <c r="I49" s="50"/>
    </row>
    <row r="50" ht="35" customHeight="1" spans="1:9">
      <c r="A50" s="60"/>
      <c r="B50" s="59"/>
      <c r="C50" s="52"/>
      <c r="D50" s="52"/>
      <c r="E50" s="52"/>
      <c r="F50" s="52"/>
      <c r="G50" s="52"/>
      <c r="H50" s="48"/>
      <c r="I50" s="50"/>
    </row>
    <row r="51" ht="35" customHeight="1" spans="1:9">
      <c r="A51" s="60"/>
      <c r="B51" s="59"/>
      <c r="C51" s="52"/>
      <c r="D51" s="52"/>
      <c r="E51" s="52"/>
      <c r="F51" s="52"/>
      <c r="G51" s="52"/>
      <c r="H51" s="48"/>
      <c r="I51" s="50"/>
    </row>
    <row r="52" spans="1:9">
      <c r="A52" s="60"/>
      <c r="B52" s="59"/>
      <c r="C52" s="52"/>
      <c r="D52" s="52"/>
      <c r="E52" s="52"/>
      <c r="F52" s="52"/>
      <c r="G52" s="52"/>
      <c r="H52" s="48"/>
      <c r="I52" s="50"/>
    </row>
    <row r="53" spans="1:9">
      <c r="A53" s="60"/>
      <c r="B53" s="59"/>
      <c r="C53" s="52"/>
      <c r="D53" s="52"/>
      <c r="E53" s="52"/>
      <c r="F53" s="52"/>
      <c r="G53" s="52"/>
      <c r="H53" s="48"/>
      <c r="I53" s="50"/>
    </row>
    <row r="54" spans="1:9">
      <c r="A54" s="60"/>
      <c r="B54" s="59"/>
      <c r="C54" s="52"/>
      <c r="D54" s="52"/>
      <c r="E54" s="52"/>
      <c r="F54" s="52"/>
      <c r="G54" s="52"/>
      <c r="H54" s="48"/>
      <c r="I54" s="50"/>
    </row>
    <row r="55" spans="1:9">
      <c r="A55" s="60"/>
      <c r="B55" s="59"/>
      <c r="C55" s="52"/>
      <c r="D55" s="52"/>
      <c r="E55" s="52"/>
      <c r="F55" s="52"/>
      <c r="G55" s="52"/>
      <c r="H55" s="48"/>
      <c r="I55" s="50"/>
    </row>
    <row r="56" spans="1:9">
      <c r="A56" s="60"/>
      <c r="B56" s="59"/>
      <c r="C56" s="52"/>
      <c r="D56" s="52"/>
      <c r="E56" s="52"/>
      <c r="F56" s="52"/>
      <c r="G56" s="52"/>
      <c r="H56" s="48"/>
      <c r="I56" s="50"/>
    </row>
    <row r="57" spans="1:9">
      <c r="A57" s="60"/>
      <c r="B57" s="59"/>
      <c r="C57" s="52"/>
      <c r="D57" s="52"/>
      <c r="E57" s="52"/>
      <c r="F57" s="52"/>
      <c r="G57" s="52"/>
      <c r="H57" s="48"/>
      <c r="I57" s="50"/>
    </row>
    <row r="58" spans="1:9">
      <c r="A58" s="60"/>
      <c r="B58" s="59"/>
      <c r="C58" s="52"/>
      <c r="D58" s="52"/>
      <c r="E58" s="52"/>
      <c r="F58" s="52"/>
      <c r="G58" s="52"/>
      <c r="H58" s="48"/>
      <c r="I58" s="50"/>
    </row>
    <row r="59" spans="1:9">
      <c r="A59" s="60"/>
      <c r="B59" s="59"/>
      <c r="C59" s="52"/>
      <c r="D59" s="52"/>
      <c r="E59" s="52"/>
      <c r="F59" s="52"/>
      <c r="G59" s="52"/>
      <c r="H59" s="48"/>
      <c r="I59" s="50"/>
    </row>
    <row r="60" spans="1:9">
      <c r="A60" s="60"/>
      <c r="B60" s="59"/>
      <c r="C60" s="52"/>
      <c r="D60" s="52"/>
      <c r="E60" s="52"/>
      <c r="F60" s="52"/>
      <c r="G60" s="52"/>
      <c r="H60" s="48"/>
      <c r="I60" s="50"/>
    </row>
    <row r="61" spans="1:9">
      <c r="A61" s="60"/>
      <c r="B61" s="59"/>
      <c r="C61" s="52"/>
      <c r="D61" s="52"/>
      <c r="E61" s="52"/>
      <c r="F61" s="52"/>
      <c r="G61" s="52"/>
      <c r="H61" s="48"/>
      <c r="I61" s="50"/>
    </row>
    <row r="62" spans="1:9">
      <c r="A62" s="60"/>
      <c r="B62" s="59"/>
      <c r="C62" s="52"/>
      <c r="D62" s="52"/>
      <c r="E62" s="52"/>
      <c r="F62" s="52"/>
      <c r="G62" s="52"/>
      <c r="H62" s="48"/>
      <c r="I62" s="50"/>
    </row>
    <row r="63" spans="1:9">
      <c r="A63" s="60"/>
      <c r="B63" s="59"/>
      <c r="C63" s="52"/>
      <c r="D63" s="52"/>
      <c r="E63" s="52"/>
      <c r="F63" s="52"/>
      <c r="G63" s="52"/>
      <c r="H63" s="48"/>
      <c r="I63" s="50"/>
    </row>
    <row r="64" spans="1:9">
      <c r="A64" s="60"/>
      <c r="B64" s="59"/>
      <c r="C64" s="52"/>
      <c r="D64" s="52"/>
      <c r="E64" s="52"/>
      <c r="F64" s="52"/>
      <c r="G64" s="52"/>
      <c r="H64" s="48"/>
      <c r="I64" s="50"/>
    </row>
    <row r="65" spans="1:9">
      <c r="A65" s="60"/>
      <c r="B65" s="59"/>
      <c r="C65" s="52"/>
      <c r="D65" s="52"/>
      <c r="E65" s="52"/>
      <c r="F65" s="52"/>
      <c r="G65" s="52"/>
      <c r="H65" s="48"/>
      <c r="I65" s="50"/>
    </row>
    <row r="66" spans="1:9">
      <c r="A66" s="60"/>
      <c r="B66" s="59"/>
      <c r="C66" s="52"/>
      <c r="D66" s="52"/>
      <c r="E66" s="52"/>
      <c r="F66" s="52"/>
      <c r="G66" s="52"/>
      <c r="H66" s="48"/>
      <c r="I66" s="50"/>
    </row>
  </sheetData>
  <mergeCells count="124">
    <mergeCell ref="A1:F1"/>
    <mergeCell ref="C2:D2"/>
    <mergeCell ref="C3:D3"/>
    <mergeCell ref="C4:D4"/>
    <mergeCell ref="C5:D5"/>
    <mergeCell ref="C6:F6"/>
    <mergeCell ref="A8:A9"/>
    <mergeCell ref="A10:A11"/>
    <mergeCell ref="A12:A13"/>
    <mergeCell ref="A16:A17"/>
    <mergeCell ref="A18:A19"/>
    <mergeCell ref="A20:A21"/>
    <mergeCell ref="A22:A23"/>
    <mergeCell ref="A24:A25"/>
    <mergeCell ref="A26:A27"/>
    <mergeCell ref="A28:A29"/>
    <mergeCell ref="A30:A32"/>
    <mergeCell ref="A33:A34"/>
    <mergeCell ref="A35:A36"/>
    <mergeCell ref="A37:A38"/>
    <mergeCell ref="A39:A40"/>
    <mergeCell ref="A41:A42"/>
    <mergeCell ref="B8:B42"/>
    <mergeCell ref="C8:C9"/>
    <mergeCell ref="C10:C29"/>
    <mergeCell ref="C30:C36"/>
    <mergeCell ref="C37:C40"/>
    <mergeCell ref="C41:C42"/>
    <mergeCell ref="D8:D9"/>
    <mergeCell ref="D10:D11"/>
    <mergeCell ref="D12:D13"/>
    <mergeCell ref="D16:D17"/>
    <mergeCell ref="D18:D19"/>
    <mergeCell ref="D20:D21"/>
    <mergeCell ref="D22:D23"/>
    <mergeCell ref="D24:D25"/>
    <mergeCell ref="D26:D27"/>
    <mergeCell ref="D28:D29"/>
    <mergeCell ref="D30:D32"/>
    <mergeCell ref="D33:D34"/>
    <mergeCell ref="D35:D36"/>
    <mergeCell ref="D37:D38"/>
    <mergeCell ref="D39:D40"/>
    <mergeCell ref="D41:D42"/>
    <mergeCell ref="E8:E9"/>
    <mergeCell ref="E10:E11"/>
    <mergeCell ref="E12:E13"/>
    <mergeCell ref="E16:E17"/>
    <mergeCell ref="E18:E19"/>
    <mergeCell ref="E20:E21"/>
    <mergeCell ref="E22:E23"/>
    <mergeCell ref="E24:E25"/>
    <mergeCell ref="E26:E27"/>
    <mergeCell ref="E28:E29"/>
    <mergeCell ref="E30:E32"/>
    <mergeCell ref="E33:E34"/>
    <mergeCell ref="E35:E36"/>
    <mergeCell ref="E37:E38"/>
    <mergeCell ref="E39:E40"/>
    <mergeCell ref="E41:E42"/>
    <mergeCell ref="F8:F9"/>
    <mergeCell ref="F10:F11"/>
    <mergeCell ref="F12:F13"/>
    <mergeCell ref="F16:F17"/>
    <mergeCell ref="F18:F19"/>
    <mergeCell ref="F20:F21"/>
    <mergeCell ref="F22:F23"/>
    <mergeCell ref="F24:F25"/>
    <mergeCell ref="F26:F27"/>
    <mergeCell ref="F28:F29"/>
    <mergeCell ref="F30:F32"/>
    <mergeCell ref="F33:F34"/>
    <mergeCell ref="F35:F36"/>
    <mergeCell ref="F37:F38"/>
    <mergeCell ref="F39:F40"/>
    <mergeCell ref="F41:F42"/>
    <mergeCell ref="G8:G9"/>
    <mergeCell ref="G10:G11"/>
    <mergeCell ref="G12:G13"/>
    <mergeCell ref="G16:G17"/>
    <mergeCell ref="G18:G19"/>
    <mergeCell ref="G20:G21"/>
    <mergeCell ref="G22:G23"/>
    <mergeCell ref="G24:G25"/>
    <mergeCell ref="G26:G27"/>
    <mergeCell ref="G28:G29"/>
    <mergeCell ref="G30:G32"/>
    <mergeCell ref="G33:G34"/>
    <mergeCell ref="G35:G36"/>
    <mergeCell ref="G37:G38"/>
    <mergeCell ref="G39:G40"/>
    <mergeCell ref="G41:G42"/>
    <mergeCell ref="H8:H9"/>
    <mergeCell ref="H10:H11"/>
    <mergeCell ref="H12:H13"/>
    <mergeCell ref="H16:H17"/>
    <mergeCell ref="H18:H19"/>
    <mergeCell ref="H20:H21"/>
    <mergeCell ref="H22:H23"/>
    <mergeCell ref="H24:H25"/>
    <mergeCell ref="H26:H27"/>
    <mergeCell ref="H28:H29"/>
    <mergeCell ref="H30:H32"/>
    <mergeCell ref="H33:H34"/>
    <mergeCell ref="H35:H36"/>
    <mergeCell ref="H37:H38"/>
    <mergeCell ref="H39:H40"/>
    <mergeCell ref="H41:H42"/>
    <mergeCell ref="I8:I9"/>
    <mergeCell ref="I10:I11"/>
    <mergeCell ref="I12:I13"/>
    <mergeCell ref="I16:I17"/>
    <mergeCell ref="I18:I19"/>
    <mergeCell ref="I20:I21"/>
    <mergeCell ref="I22:I23"/>
    <mergeCell ref="I24:I25"/>
    <mergeCell ref="I26:I27"/>
    <mergeCell ref="I28:I29"/>
    <mergeCell ref="I30:I32"/>
    <mergeCell ref="I33:I34"/>
    <mergeCell ref="I35:I36"/>
    <mergeCell ref="I37:I38"/>
    <mergeCell ref="I39:I40"/>
    <mergeCell ref="I41:I42"/>
  </mergeCells>
  <conditionalFormatting sqref="H8">
    <cfRule type="cellIs" dxfId="0" priority="166" stopIfTrue="1" operator="equal">
      <formula>"N/A"</formula>
    </cfRule>
    <cfRule type="cellIs" dxfId="1" priority="167" stopIfTrue="1" operator="equal">
      <formula>"Fail"</formula>
    </cfRule>
    <cfRule type="cellIs" dxfId="2" priority="168" stopIfTrue="1" operator="equal">
      <formula>"Pass"</formula>
    </cfRule>
  </conditionalFormatting>
  <conditionalFormatting sqref="H10">
    <cfRule type="cellIs" dxfId="0" priority="169" stopIfTrue="1" operator="equal">
      <formula>"N/A"</formula>
    </cfRule>
    <cfRule type="cellIs" dxfId="1" priority="170" stopIfTrue="1" operator="equal">
      <formula>"Fail"</formula>
    </cfRule>
    <cfRule type="cellIs" dxfId="2" priority="171" stopIfTrue="1" operator="equal">
      <formula>"Pass"</formula>
    </cfRule>
  </conditionalFormatting>
  <conditionalFormatting sqref="H12">
    <cfRule type="cellIs" dxfId="2" priority="6" stopIfTrue="1" operator="equal">
      <formula>"Pass"</formula>
    </cfRule>
    <cfRule type="cellIs" dxfId="1" priority="5" stopIfTrue="1" operator="equal">
      <formula>"Fail"</formula>
    </cfRule>
    <cfRule type="cellIs" dxfId="0" priority="4" stopIfTrue="1" operator="equal">
      <formula>"N/A"</formula>
    </cfRule>
  </conditionalFormatting>
  <conditionalFormatting sqref="H14">
    <cfRule type="cellIs" dxfId="0" priority="193" stopIfTrue="1" operator="equal">
      <formula>"N/A"</formula>
    </cfRule>
    <cfRule type="cellIs" dxfId="1" priority="194" stopIfTrue="1" operator="equal">
      <formula>"Fail"</formula>
    </cfRule>
    <cfRule type="cellIs" dxfId="2" priority="195" stopIfTrue="1" operator="equal">
      <formula>"Pass"</formula>
    </cfRule>
  </conditionalFormatting>
  <conditionalFormatting sqref="H15">
    <cfRule type="cellIs" dxfId="2" priority="3" stopIfTrue="1" operator="equal">
      <formula>"Pass"</formula>
    </cfRule>
    <cfRule type="cellIs" dxfId="1" priority="2" stopIfTrue="1" operator="equal">
      <formula>"Fail"</formula>
    </cfRule>
    <cfRule type="cellIs" dxfId="0" priority="1" stopIfTrue="1" operator="equal">
      <formula>"N/A"</formula>
    </cfRule>
  </conditionalFormatting>
  <conditionalFormatting sqref="H16">
    <cfRule type="cellIs" dxfId="0" priority="178" stopIfTrue="1" operator="equal">
      <formula>"N/A"</formula>
    </cfRule>
    <cfRule type="cellIs" dxfId="1" priority="179" stopIfTrue="1" operator="equal">
      <formula>"Fail"</formula>
    </cfRule>
    <cfRule type="cellIs" dxfId="2" priority="180" stopIfTrue="1" operator="equal">
      <formula>"Pass"</formula>
    </cfRule>
  </conditionalFormatting>
  <conditionalFormatting sqref="H18">
    <cfRule type="cellIs" dxfId="0" priority="125" stopIfTrue="1" operator="equal">
      <formula>"N/A"</formula>
    </cfRule>
    <cfRule type="cellIs" dxfId="1" priority="145" stopIfTrue="1" operator="equal">
      <formula>"Fail"</formula>
    </cfRule>
    <cfRule type="cellIs" dxfId="2" priority="165" stopIfTrue="1" operator="equal">
      <formula>"Pass"</formula>
    </cfRule>
  </conditionalFormatting>
  <conditionalFormatting sqref="H20">
    <cfRule type="cellIs" dxfId="0" priority="123" stopIfTrue="1" operator="equal">
      <formula>"N/A"</formula>
    </cfRule>
    <cfRule type="cellIs" dxfId="1" priority="143" stopIfTrue="1" operator="equal">
      <formula>"Fail"</formula>
    </cfRule>
    <cfRule type="cellIs" dxfId="2" priority="163" stopIfTrue="1" operator="equal">
      <formula>"Pass"</formula>
    </cfRule>
  </conditionalFormatting>
  <conditionalFormatting sqref="H22">
    <cfRule type="cellIs" dxfId="0" priority="121" stopIfTrue="1" operator="equal">
      <formula>"N/A"</formula>
    </cfRule>
    <cfRule type="cellIs" dxfId="1" priority="141" stopIfTrue="1" operator="equal">
      <formula>"Fail"</formula>
    </cfRule>
    <cfRule type="cellIs" dxfId="2" priority="161" stopIfTrue="1" operator="equal">
      <formula>"Pass"</formula>
    </cfRule>
  </conditionalFormatting>
  <conditionalFormatting sqref="H24">
    <cfRule type="cellIs" dxfId="0" priority="119" stopIfTrue="1" operator="equal">
      <formula>"N/A"</formula>
    </cfRule>
    <cfRule type="cellIs" dxfId="1" priority="139" stopIfTrue="1" operator="equal">
      <formula>"Fail"</formula>
    </cfRule>
    <cfRule type="cellIs" dxfId="2" priority="159" stopIfTrue="1" operator="equal">
      <formula>"Pass"</formula>
    </cfRule>
  </conditionalFormatting>
  <conditionalFormatting sqref="H26">
    <cfRule type="cellIs" dxfId="0" priority="117" stopIfTrue="1" operator="equal">
      <formula>"N/A"</formula>
    </cfRule>
    <cfRule type="cellIs" dxfId="1" priority="137" stopIfTrue="1" operator="equal">
      <formula>"Fail"</formula>
    </cfRule>
    <cfRule type="cellIs" dxfId="2" priority="157" stopIfTrue="1" operator="equal">
      <formula>"Pass"</formula>
    </cfRule>
  </conditionalFormatting>
  <conditionalFormatting sqref="H28">
    <cfRule type="cellIs" dxfId="0" priority="115" stopIfTrue="1" operator="equal">
      <formula>"N/A"</formula>
    </cfRule>
    <cfRule type="cellIs" dxfId="1" priority="135" stopIfTrue="1" operator="equal">
      <formula>"Fail"</formula>
    </cfRule>
    <cfRule type="cellIs" dxfId="2" priority="155" stopIfTrue="1" operator="equal">
      <formula>"Pass"</formula>
    </cfRule>
  </conditionalFormatting>
  <conditionalFormatting sqref="H30">
    <cfRule type="cellIs" dxfId="0" priority="113" stopIfTrue="1" operator="equal">
      <formula>"N/A"</formula>
    </cfRule>
    <cfRule type="cellIs" dxfId="1" priority="133" stopIfTrue="1" operator="equal">
      <formula>"Fail"</formula>
    </cfRule>
    <cfRule type="cellIs" dxfId="2" priority="153" stopIfTrue="1" operator="equal">
      <formula>"Pass"</formula>
    </cfRule>
  </conditionalFormatting>
  <conditionalFormatting sqref="H33">
    <cfRule type="cellIs" dxfId="0" priority="110" stopIfTrue="1" operator="equal">
      <formula>"N/A"</formula>
    </cfRule>
    <cfRule type="cellIs" dxfId="1" priority="130" stopIfTrue="1" operator="equal">
      <formula>"Fail"</formula>
    </cfRule>
    <cfRule type="cellIs" dxfId="2" priority="150" stopIfTrue="1" operator="equal">
      <formula>"Pass"</formula>
    </cfRule>
  </conditionalFormatting>
  <conditionalFormatting sqref="H35">
    <cfRule type="cellIs" dxfId="0" priority="108" stopIfTrue="1" operator="equal">
      <formula>"N/A"</formula>
    </cfRule>
    <cfRule type="cellIs" dxfId="1" priority="128" stopIfTrue="1" operator="equal">
      <formula>"Fail"</formula>
    </cfRule>
    <cfRule type="cellIs" dxfId="2" priority="148" stopIfTrue="1" operator="equal">
      <formula>"Pass"</formula>
    </cfRule>
  </conditionalFormatting>
  <conditionalFormatting sqref="H37">
    <cfRule type="cellIs" dxfId="0" priority="38" stopIfTrue="1" operator="equal">
      <formula>"N/A"</formula>
    </cfRule>
    <cfRule type="cellIs" dxfId="1" priority="71" stopIfTrue="1" operator="equal">
      <formula>"Fail"</formula>
    </cfRule>
    <cfRule type="cellIs" dxfId="2" priority="104" stopIfTrue="1" operator="equal">
      <formula>"Pass"</formula>
    </cfRule>
  </conditionalFormatting>
  <conditionalFormatting sqref="H39">
    <cfRule type="cellIs" dxfId="0" priority="36" stopIfTrue="1" operator="equal">
      <formula>"N/A"</formula>
    </cfRule>
    <cfRule type="cellIs" dxfId="1" priority="69" stopIfTrue="1" operator="equal">
      <formula>"Fail"</formula>
    </cfRule>
    <cfRule type="cellIs" dxfId="2" priority="102" stopIfTrue="1" operator="equal">
      <formula>"Pass"</formula>
    </cfRule>
  </conditionalFormatting>
  <conditionalFormatting sqref="H41">
    <cfRule type="cellIs" dxfId="0" priority="34" stopIfTrue="1" operator="equal">
      <formula>"N/A"</formula>
    </cfRule>
    <cfRule type="cellIs" dxfId="1" priority="67" stopIfTrue="1" operator="equal">
      <formula>"Fail"</formula>
    </cfRule>
    <cfRule type="cellIs" dxfId="2" priority="100" stopIfTrue="1" operator="equal">
      <formula>"Pass"</formula>
    </cfRule>
  </conditionalFormatting>
  <conditionalFormatting sqref="H43">
    <cfRule type="cellIs" dxfId="0" priority="30" stopIfTrue="1" operator="equal">
      <formula>"N/A"</formula>
    </cfRule>
    <cfRule type="cellIs" dxfId="1" priority="63" stopIfTrue="1" operator="equal">
      <formula>"Fail"</formula>
    </cfRule>
    <cfRule type="cellIs" dxfId="2" priority="96" stopIfTrue="1" operator="equal">
      <formula>"Pass"</formula>
    </cfRule>
  </conditionalFormatting>
  <conditionalFormatting sqref="H44">
    <cfRule type="cellIs" dxfId="0" priority="29" stopIfTrue="1" operator="equal">
      <formula>"N/A"</formula>
    </cfRule>
    <cfRule type="cellIs" dxfId="1" priority="62" stopIfTrue="1" operator="equal">
      <formula>"Fail"</formula>
    </cfRule>
    <cfRule type="cellIs" dxfId="2" priority="95" stopIfTrue="1" operator="equal">
      <formula>"Pass"</formula>
    </cfRule>
  </conditionalFormatting>
  <conditionalFormatting sqref="H45">
    <cfRule type="cellIs" dxfId="0" priority="28" stopIfTrue="1" operator="equal">
      <formula>"N/A"</formula>
    </cfRule>
    <cfRule type="cellIs" dxfId="1" priority="61" stopIfTrue="1" operator="equal">
      <formula>"Fail"</formula>
    </cfRule>
    <cfRule type="cellIs" dxfId="2" priority="94" stopIfTrue="1" operator="equal">
      <formula>"Pass"</formula>
    </cfRule>
  </conditionalFormatting>
  <conditionalFormatting sqref="H46">
    <cfRule type="cellIs" dxfId="0" priority="27" stopIfTrue="1" operator="equal">
      <formula>"N/A"</formula>
    </cfRule>
    <cfRule type="cellIs" dxfId="1" priority="60" stopIfTrue="1" operator="equal">
      <formula>"Fail"</formula>
    </cfRule>
    <cfRule type="cellIs" dxfId="2" priority="93" stopIfTrue="1" operator="equal">
      <formula>"Pass"</formula>
    </cfRule>
  </conditionalFormatting>
  <conditionalFormatting sqref="H47">
    <cfRule type="cellIs" dxfId="0" priority="26" stopIfTrue="1" operator="equal">
      <formula>"N/A"</formula>
    </cfRule>
    <cfRule type="cellIs" dxfId="1" priority="59" stopIfTrue="1" operator="equal">
      <formula>"Fail"</formula>
    </cfRule>
    <cfRule type="cellIs" dxfId="2" priority="92" stopIfTrue="1" operator="equal">
      <formula>"Pass"</formula>
    </cfRule>
  </conditionalFormatting>
  <conditionalFormatting sqref="H48">
    <cfRule type="cellIs" dxfId="0" priority="25" stopIfTrue="1" operator="equal">
      <formula>"N/A"</formula>
    </cfRule>
    <cfRule type="cellIs" dxfId="1" priority="58" stopIfTrue="1" operator="equal">
      <formula>"Fail"</formula>
    </cfRule>
    <cfRule type="cellIs" dxfId="2" priority="91" stopIfTrue="1" operator="equal">
      <formula>"Pass"</formula>
    </cfRule>
  </conditionalFormatting>
  <conditionalFormatting sqref="H49">
    <cfRule type="cellIs" dxfId="0" priority="24" stopIfTrue="1" operator="equal">
      <formula>"N/A"</formula>
    </cfRule>
    <cfRule type="cellIs" dxfId="1" priority="57" stopIfTrue="1" operator="equal">
      <formula>"Fail"</formula>
    </cfRule>
    <cfRule type="cellIs" dxfId="2" priority="90" stopIfTrue="1" operator="equal">
      <formula>"Pass"</formula>
    </cfRule>
  </conditionalFormatting>
  <conditionalFormatting sqref="H50">
    <cfRule type="cellIs" dxfId="0" priority="23" stopIfTrue="1" operator="equal">
      <formula>"N/A"</formula>
    </cfRule>
    <cfRule type="cellIs" dxfId="1" priority="56" stopIfTrue="1" operator="equal">
      <formula>"Fail"</formula>
    </cfRule>
    <cfRule type="cellIs" dxfId="2" priority="89" stopIfTrue="1" operator="equal">
      <formula>"Pass"</formula>
    </cfRule>
  </conditionalFormatting>
  <conditionalFormatting sqref="H51">
    <cfRule type="cellIs" dxfId="0" priority="22" stopIfTrue="1" operator="equal">
      <formula>"N/A"</formula>
    </cfRule>
    <cfRule type="cellIs" dxfId="1" priority="55" stopIfTrue="1" operator="equal">
      <formula>"Fail"</formula>
    </cfRule>
    <cfRule type="cellIs" dxfId="2" priority="88" stopIfTrue="1" operator="equal">
      <formula>"Pass"</formula>
    </cfRule>
  </conditionalFormatting>
  <conditionalFormatting sqref="H52">
    <cfRule type="cellIs" dxfId="0" priority="21" stopIfTrue="1" operator="equal">
      <formula>"N/A"</formula>
    </cfRule>
    <cfRule type="cellIs" dxfId="1" priority="54" stopIfTrue="1" operator="equal">
      <formula>"Fail"</formula>
    </cfRule>
    <cfRule type="cellIs" dxfId="2" priority="87" stopIfTrue="1" operator="equal">
      <formula>"Pass"</formula>
    </cfRule>
  </conditionalFormatting>
  <conditionalFormatting sqref="H53">
    <cfRule type="cellIs" dxfId="0" priority="20" stopIfTrue="1" operator="equal">
      <formula>"N/A"</formula>
    </cfRule>
    <cfRule type="cellIs" dxfId="1" priority="53" stopIfTrue="1" operator="equal">
      <formula>"Fail"</formula>
    </cfRule>
    <cfRule type="cellIs" dxfId="2" priority="86" stopIfTrue="1" operator="equal">
      <formula>"Pass"</formula>
    </cfRule>
  </conditionalFormatting>
  <conditionalFormatting sqref="H54">
    <cfRule type="cellIs" dxfId="0" priority="19" stopIfTrue="1" operator="equal">
      <formula>"N/A"</formula>
    </cfRule>
    <cfRule type="cellIs" dxfId="1" priority="52" stopIfTrue="1" operator="equal">
      <formula>"Fail"</formula>
    </cfRule>
    <cfRule type="cellIs" dxfId="2" priority="85" stopIfTrue="1" operator="equal">
      <formula>"Pass"</formula>
    </cfRule>
  </conditionalFormatting>
  <conditionalFormatting sqref="H55">
    <cfRule type="cellIs" dxfId="0" priority="18" stopIfTrue="1" operator="equal">
      <formula>"N/A"</formula>
    </cfRule>
    <cfRule type="cellIs" dxfId="1" priority="51" stopIfTrue="1" operator="equal">
      <formula>"Fail"</formula>
    </cfRule>
    <cfRule type="cellIs" dxfId="2" priority="84" stopIfTrue="1" operator="equal">
      <formula>"Pass"</formula>
    </cfRule>
  </conditionalFormatting>
  <conditionalFormatting sqref="H56">
    <cfRule type="cellIs" dxfId="0" priority="17" stopIfTrue="1" operator="equal">
      <formula>"N/A"</formula>
    </cfRule>
    <cfRule type="cellIs" dxfId="1" priority="50" stopIfTrue="1" operator="equal">
      <formula>"Fail"</formula>
    </cfRule>
    <cfRule type="cellIs" dxfId="2" priority="83" stopIfTrue="1" operator="equal">
      <formula>"Pass"</formula>
    </cfRule>
  </conditionalFormatting>
  <conditionalFormatting sqref="H57">
    <cfRule type="cellIs" dxfId="0" priority="16" stopIfTrue="1" operator="equal">
      <formula>"N/A"</formula>
    </cfRule>
    <cfRule type="cellIs" dxfId="1" priority="49" stopIfTrue="1" operator="equal">
      <formula>"Fail"</formula>
    </cfRule>
    <cfRule type="cellIs" dxfId="2" priority="82" stopIfTrue="1" operator="equal">
      <formula>"Pass"</formula>
    </cfRule>
  </conditionalFormatting>
  <conditionalFormatting sqref="H58">
    <cfRule type="cellIs" dxfId="0" priority="15" stopIfTrue="1" operator="equal">
      <formula>"N/A"</formula>
    </cfRule>
    <cfRule type="cellIs" dxfId="1" priority="48" stopIfTrue="1" operator="equal">
      <formula>"Fail"</formula>
    </cfRule>
    <cfRule type="cellIs" dxfId="2" priority="81" stopIfTrue="1" operator="equal">
      <formula>"Pass"</formula>
    </cfRule>
  </conditionalFormatting>
  <conditionalFormatting sqref="H59">
    <cfRule type="cellIs" dxfId="0" priority="14" stopIfTrue="1" operator="equal">
      <formula>"N/A"</formula>
    </cfRule>
    <cfRule type="cellIs" dxfId="1" priority="47" stopIfTrue="1" operator="equal">
      <formula>"Fail"</formula>
    </cfRule>
    <cfRule type="cellIs" dxfId="2" priority="80" stopIfTrue="1" operator="equal">
      <formula>"Pass"</formula>
    </cfRule>
  </conditionalFormatting>
  <conditionalFormatting sqref="H60">
    <cfRule type="cellIs" dxfId="0" priority="13" stopIfTrue="1" operator="equal">
      <formula>"N/A"</formula>
    </cfRule>
    <cfRule type="cellIs" dxfId="1" priority="46" stopIfTrue="1" operator="equal">
      <formula>"Fail"</formula>
    </cfRule>
    <cfRule type="cellIs" dxfId="2" priority="79" stopIfTrue="1" operator="equal">
      <formula>"Pass"</formula>
    </cfRule>
  </conditionalFormatting>
  <conditionalFormatting sqref="H61">
    <cfRule type="cellIs" dxfId="0" priority="12" stopIfTrue="1" operator="equal">
      <formula>"N/A"</formula>
    </cfRule>
    <cfRule type="cellIs" dxfId="1" priority="45" stopIfTrue="1" operator="equal">
      <formula>"Fail"</formula>
    </cfRule>
    <cfRule type="cellIs" dxfId="2" priority="78" stopIfTrue="1" operator="equal">
      <formula>"Pass"</formula>
    </cfRule>
  </conditionalFormatting>
  <conditionalFormatting sqref="H62">
    <cfRule type="cellIs" dxfId="0" priority="11" stopIfTrue="1" operator="equal">
      <formula>"N/A"</formula>
    </cfRule>
    <cfRule type="cellIs" dxfId="1" priority="44" stopIfTrue="1" operator="equal">
      <formula>"Fail"</formula>
    </cfRule>
    <cfRule type="cellIs" dxfId="2" priority="77" stopIfTrue="1" operator="equal">
      <formula>"Pass"</formula>
    </cfRule>
  </conditionalFormatting>
  <conditionalFormatting sqref="H63">
    <cfRule type="cellIs" dxfId="0" priority="10" stopIfTrue="1" operator="equal">
      <formula>"N/A"</formula>
    </cfRule>
    <cfRule type="cellIs" dxfId="1" priority="43" stopIfTrue="1" operator="equal">
      <formula>"Fail"</formula>
    </cfRule>
    <cfRule type="cellIs" dxfId="2" priority="76" stopIfTrue="1" operator="equal">
      <formula>"Pass"</formula>
    </cfRule>
  </conditionalFormatting>
  <conditionalFormatting sqref="H64">
    <cfRule type="cellIs" dxfId="0" priority="9" stopIfTrue="1" operator="equal">
      <formula>"N/A"</formula>
    </cfRule>
    <cfRule type="cellIs" dxfId="1" priority="42" stopIfTrue="1" operator="equal">
      <formula>"Fail"</formula>
    </cfRule>
    <cfRule type="cellIs" dxfId="2" priority="75" stopIfTrue="1" operator="equal">
      <formula>"Pass"</formula>
    </cfRule>
  </conditionalFormatting>
  <conditionalFormatting sqref="H65">
    <cfRule type="cellIs" dxfId="0" priority="8" stopIfTrue="1" operator="equal">
      <formula>"N/A"</formula>
    </cfRule>
    <cfRule type="cellIs" dxfId="1" priority="41" stopIfTrue="1" operator="equal">
      <formula>"Fail"</formula>
    </cfRule>
    <cfRule type="cellIs" dxfId="2" priority="74" stopIfTrue="1" operator="equal">
      <formula>"Pass"</formula>
    </cfRule>
  </conditionalFormatting>
  <conditionalFormatting sqref="H66">
    <cfRule type="cellIs" dxfId="0" priority="7" stopIfTrue="1" operator="equal">
      <formula>"N/A"</formula>
    </cfRule>
    <cfRule type="cellIs" dxfId="1" priority="40" stopIfTrue="1" operator="equal">
      <formula>"Fail"</formula>
    </cfRule>
    <cfRule type="cellIs" dxfId="2" priority="73" stopIfTrue="1" operator="equal">
      <formula>"Pass"</formula>
    </cfRule>
  </conditionalFormatting>
  <dataValidations count="1">
    <dataValidation type="list" allowBlank="1" showInputMessage="1" showErrorMessage="1" sqref="H8:H66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流失引导任务优化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2026-03-16T13:40:35Z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