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00" yWindow="600" windowWidth="38400" windowHeight="21000" tabRatio="600" firstSheet="0" activeTab="0" autoFilterDateGrouping="1"/>
  </bookViews>
  <sheets>
    <sheet name="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0"/>
      <sz val="12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b val="1"/>
      <color rgb="FF0000FF"/>
      <sz val="12"/>
      <scheme val="minor"/>
    </font>
    <font>
      <name val="宋体"/>
      <charset val="134"/>
      <family val="3"/>
      <b val="1"/>
      <color rgb="FFFF0000"/>
      <sz val="12"/>
      <scheme val="minor"/>
    </font>
    <font>
      <name val="宋体"/>
      <charset val="134"/>
      <family val="3"/>
      <b val="1"/>
      <color rgb="FF7030A0"/>
      <sz val="12"/>
      <scheme val="minor"/>
    </font>
    <font>
      <name val="宋体"/>
      <charset val="134"/>
      <family val="3"/>
      <color theme="1"/>
      <sz val="10"/>
      <scheme val="maj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1">
    <xf numFmtId="0" fontId="0" fillId="0" borderId="0" pivotButton="0" quotePrefix="0" xfId="0"/>
    <xf numFmtId="14" fontId="5" fillId="4" borderId="1" applyAlignment="1" pivotButton="0" quotePrefix="0" xfId="1">
      <alignment horizontal="left" vertical="center"/>
    </xf>
    <xf numFmtId="46" fontId="5" fillId="4" borderId="1" applyAlignment="1" pivotButton="0" quotePrefix="0" xfId="1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1">
      <alignment horizontal="left" vertical="center" wrapText="1"/>
    </xf>
    <xf numFmtId="0" fontId="5" fillId="4" borderId="1" applyAlignment="1" pivotButton="0" quotePrefix="0" xfId="1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4" borderId="1" applyAlignment="1" pivotButton="0" quotePrefix="0" xfId="1">
      <alignment horizontal="left" vertical="center" wrapText="1"/>
    </xf>
    <xf numFmtId="0" fontId="6" fillId="4" borderId="1" applyAlignment="1" pivotButton="0" quotePrefix="0" xfId="1">
      <alignment horizontal="left" vertical="center"/>
    </xf>
    <xf numFmtId="0" fontId="7" fillId="4" borderId="1" applyAlignment="1" pivotButton="0" quotePrefix="0" xfId="1">
      <alignment horizontal="left" vertical="center" wrapText="1"/>
    </xf>
    <xf numFmtId="0" fontId="7" fillId="4" borderId="1" applyAlignment="1" pivotButton="0" quotePrefix="0" xfId="1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1">
      <alignment horizontal="left" vertical="center" wrapText="1"/>
    </xf>
    <xf numFmtId="0" fontId="8" fillId="4" borderId="1" applyAlignment="1" pivotButton="0" quotePrefix="0" xfId="1">
      <alignment horizontal="left" vertical="center"/>
    </xf>
    <xf numFmtId="0" fontId="4" fillId="5" borderId="1" applyAlignment="1" pivotButton="0" quotePrefix="0" xfId="1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1">
      <alignment horizontal="left" vertical="center" wrapText="1"/>
    </xf>
    <xf numFmtId="0" fontId="4" fillId="5" borderId="5" applyAlignment="1" pivotButton="0" quotePrefix="0" xfId="1">
      <alignment horizontal="left" vertical="center"/>
    </xf>
    <xf numFmtId="0" fontId="9" fillId="0" borderId="0" applyAlignment="1" pivotButton="0" quotePrefix="0" xfId="0">
      <alignment vertical="center" wrapText="1"/>
    </xf>
    <xf numFmtId="14" fontId="5" fillId="4" borderId="3" applyAlignment="1" pivotButton="0" quotePrefix="0" xfId="1">
      <alignment horizontal="left" vertical="center"/>
    </xf>
    <xf numFmtId="14" fontId="5" fillId="4" borderId="4" applyAlignment="1" pivotButton="0" quotePrefix="0" xfId="1">
      <alignment horizontal="left" vertical="center"/>
    </xf>
    <xf numFmtId="14" fontId="5" fillId="4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一般 10" xfId="1"/>
  </cellStyles>
  <dxfs count="3">
    <dxf>
      <font>
        <color rgb="FF0000FF"/>
      </font>
    </dxf>
    <dxf>
      <font>
        <color rgb="FFFF0000"/>
      </font>
    </dxf>
    <dxf>
      <font>
        <color rgb="FF7030A0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width="6" customWidth="1" style="3" min="1" max="1"/>
    <col width="10" bestFit="1" customWidth="1" style="3" min="2" max="2"/>
    <col width="15" bestFit="1" customWidth="1" style="3" min="3" max="3"/>
    <col width="20" bestFit="1" customWidth="1" style="3" min="4" max="4"/>
    <col width="30" bestFit="1" customWidth="1" style="3" min="5" max="5"/>
    <col width="25" bestFit="1" customWidth="1" style="3" min="6" max="6"/>
    <col width="35" bestFit="1" customWidth="1" style="3" min="7" max="7"/>
    <col width="12" bestFit="1" customWidth="1" style="3" min="8" max="8"/>
    <col width="20" bestFit="1" customWidth="1" style="3" min="9" max="9"/>
    <col width="10.83203125" customWidth="1" style="3" min="10" max="16384"/>
  </cols>
  <sheetData>
    <row r="1" ht="16" customFormat="1" customHeight="1" s="8">
      <c r="A1" s="27" t="n"/>
      <c r="B1" s="28" t="n"/>
      <c r="C1" s="28" t="n"/>
      <c r="D1" s="28" t="n"/>
      <c r="E1" s="28" t="n"/>
      <c r="F1" s="29" t="n"/>
      <c r="G1" s="6" t="inlineStr">
        <is>
          <t>测试总数量</t>
        </is>
      </c>
      <c r="H1" s="7">
        <f>H2+H3+H4</f>
        <v/>
      </c>
      <c r="J1" s="9" t="n"/>
    </row>
    <row r="2" ht="16" customFormat="1" customHeight="1" s="8">
      <c r="A2" s="10" t="inlineStr">
        <is>
          <t>测试平台</t>
        </is>
      </c>
      <c r="B2" s="1" t="n"/>
      <c r="C2" s="28" t="n"/>
      <c r="D2" s="29" t="n"/>
      <c r="E2" s="11" t="inlineStr">
        <is>
          <t>测试日期</t>
        </is>
      </c>
      <c r="F2" s="1" t="n"/>
      <c r="G2" s="12" t="inlineStr">
        <is>
          <t>Pass</t>
        </is>
      </c>
      <c r="H2" s="13">
        <f>COUNTIF(H8:H32,"Pass")</f>
        <v/>
      </c>
      <c r="J2" s="9" t="n"/>
    </row>
    <row r="3" ht="16" customFormat="1" customHeight="1" s="8">
      <c r="A3" s="10" t="inlineStr">
        <is>
          <t>系统&amp;版本</t>
        </is>
      </c>
      <c r="B3" s="1" t="n"/>
      <c r="C3" s="28" t="n"/>
      <c r="D3" s="29" t="n"/>
      <c r="E3" s="11" t="inlineStr">
        <is>
          <t>最后更新</t>
        </is>
      </c>
      <c r="F3" s="2" t="n"/>
      <c r="G3" s="14" t="inlineStr">
        <is>
          <t>Fail</t>
        </is>
      </c>
      <c r="H3" s="15">
        <f>COUNTIF(H8:H32,"Fail")</f>
        <v/>
      </c>
      <c r="J3" s="9" t="n"/>
    </row>
    <row r="4" ht="16" customFormat="1" customHeight="1" s="8">
      <c r="A4" s="11" t="inlineStr">
        <is>
          <t>文档编写人</t>
        </is>
      </c>
      <c r="B4" s="1" t="n"/>
      <c r="C4" s="28" t="n"/>
      <c r="D4" s="29" t="n"/>
      <c r="E4" s="10" t="inlineStr">
        <is>
          <t>文档测试人</t>
        </is>
      </c>
      <c r="F4" s="16" t="n"/>
      <c r="G4" s="17" t="inlineStr">
        <is>
          <t>N/A</t>
        </is>
      </c>
      <c r="H4" s="18">
        <f>COUNTIF(H8:H32,"N/A")</f>
        <v/>
      </c>
      <c r="J4" s="9" t="n"/>
    </row>
    <row r="5" customFormat="1" s="8">
      <c r="A5" s="10" t="inlineStr">
        <is>
          <t>策划负责人</t>
        </is>
      </c>
      <c r="B5" s="1" t="n"/>
      <c r="C5" s="28" t="n"/>
      <c r="D5" s="29" t="n"/>
      <c r="E5" s="11" t="inlineStr">
        <is>
          <t>审阅人员</t>
        </is>
      </c>
      <c r="F5" s="16" t="n"/>
      <c r="J5" s="9" t="n"/>
    </row>
    <row r="6" customFormat="1" s="8">
      <c r="A6" s="19" t="inlineStr">
        <is>
          <t>参考档</t>
        </is>
      </c>
      <c r="B6" s="1" t="n"/>
      <c r="C6" s="28" t="n"/>
      <c r="D6" s="28" t="n"/>
      <c r="E6" s="28" t="n"/>
      <c r="F6" s="29" t="n"/>
      <c r="G6" s="20" t="n"/>
      <c r="J6" s="9" t="n"/>
    </row>
    <row r="7" ht="16" customFormat="1" customHeight="1" s="19">
      <c r="A7" s="19" t="inlineStr">
        <is>
          <t>序号</t>
        </is>
      </c>
      <c r="B7" s="19" t="inlineStr">
        <is>
          <t>平台</t>
        </is>
      </c>
      <c r="C7" s="19" t="inlineStr">
        <is>
          <t>模块</t>
        </is>
      </c>
      <c r="D7" s="19" t="inlineStr">
        <is>
          <t>功能点</t>
        </is>
      </c>
      <c r="E7" s="19" t="inlineStr">
        <is>
          <t>前置条件（测试点）</t>
        </is>
      </c>
      <c r="F7" s="19" t="inlineStr">
        <is>
          <t>操作步骤</t>
        </is>
      </c>
      <c r="G7" s="21" t="inlineStr">
        <is>
          <t>预期结果</t>
        </is>
      </c>
      <c r="H7" s="22" t="inlineStr">
        <is>
          <t>测试结果</t>
        </is>
      </c>
      <c r="I7" s="19" t="inlineStr">
        <is>
          <t>备注</t>
        </is>
      </c>
    </row>
    <row r="8">
      <c r="A8" t="inlineStr">
        <is>
          <t>1</t>
        </is>
      </c>
      <c r="B8" t="inlineStr">
        <is>
          <t>账服</t>
        </is>
      </c>
      <c r="C8" t="inlineStr">
        <is>
          <t>一般用户报表</t>
        </is>
      </c>
      <c r="D8" t="inlineStr">
        <is>
          <t>总投注额扣除免费旋转投注</t>
        </is>
      </c>
      <c r="E8" s="30" t="inlineStr">
        <is>
          <t>1、用户已登录
2、用户有免费旋转投注记录
3、进入一般用户报表查询接口</t>
        </is>
      </c>
      <c r="F8" s="30" t="inlineStr">
        <is>
          <t>1、调用一般用户报表查询接口
2、获取总投注额字段</t>
        </is>
      </c>
      <c r="G8" s="30" t="inlineStr">
        <is>
          <t>1、接口返回成功
2、总投注额 = 原始总投注 - 免费旋转投注金额
3、免费旋转投注金额不包含免费旋转赢钱后继续投注的部分
4、数据与活动记录/次数变化记录中的下注总金额一致</t>
        </is>
      </c>
      <c r="H8" t="inlineStr"/>
      <c r="I8" s="30" t="inlineStr">
        <is>
          <t>【功能测试】【P0】</t>
        </is>
      </c>
    </row>
    <row r="9">
      <c r="A9" t="inlineStr">
        <is>
          <t>2</t>
        </is>
      </c>
      <c r="B9" t="inlineStr">
        <is>
          <t>账服</t>
        </is>
      </c>
      <c r="C9" t="inlineStr">
        <is>
          <t>一般用户报表</t>
        </is>
      </c>
      <c r="D9" t="inlineStr">
        <is>
          <t>总投注额无免费旋转记录</t>
        </is>
      </c>
      <c r="E9" s="30" t="inlineStr">
        <is>
          <t>1、用户已登录
2、用户无免费旋转投注记录
3、进入一般用户报表查询接口</t>
        </is>
      </c>
      <c r="F9" s="30" t="inlineStr">
        <is>
          <t>1、调用一般用户报表查询接口
2、获取总投注额字段</t>
        </is>
      </c>
      <c r="G9" s="30" t="inlineStr">
        <is>
          <t>1、接口返回成功
2、总投注额 = 原始总投注（无扣除）
3、免费旋转投注金额显示为 0 或空</t>
        </is>
      </c>
      <c r="H9" t="inlineStr"/>
      <c r="I9" s="30" t="inlineStr">
        <is>
          <t>【功能测试】【P0】</t>
        </is>
      </c>
    </row>
    <row r="10">
      <c r="A10" t="inlineStr">
        <is>
          <t>3</t>
        </is>
      </c>
      <c r="B10" t="inlineStr">
        <is>
          <t>账服</t>
        </is>
      </c>
      <c r="C10" t="inlineStr">
        <is>
          <t>一般用户报表</t>
        </is>
      </c>
      <c r="D10" t="inlineStr">
        <is>
          <t>总奖金扣除免费旋转赢的钱</t>
        </is>
      </c>
      <c r="E10" s="30" t="inlineStr">
        <is>
          <t>1、用户已登录
2、用户有免费旋转赢钱记录
3、进入一般用户报表查询接口</t>
        </is>
      </c>
      <c r="F10" s="30" t="inlineStr">
        <is>
          <t>1、调用一般用户报表查询接口
2、获取总奖金字段</t>
        </is>
      </c>
      <c r="G10" s="30" t="inlineStr">
        <is>
          <t>1、接口返回成功
2、总奖金 = 原始总奖金 - 免费旋转赢的钱
3、扣除逻辑正确</t>
        </is>
      </c>
      <c r="H10" t="inlineStr"/>
      <c r="I10" s="30" t="inlineStr">
        <is>
          <t>【功能测试】【P0】</t>
        </is>
      </c>
    </row>
    <row r="11">
      <c r="A11" t="inlineStr">
        <is>
          <t>4</t>
        </is>
      </c>
      <c r="B11" t="inlineStr">
        <is>
          <t>账服</t>
        </is>
      </c>
      <c r="C11" t="inlineStr">
        <is>
          <t>一般用户报表</t>
        </is>
      </c>
      <c r="D11" t="inlineStr">
        <is>
          <t>总奖金无免费旋转赢钱记录</t>
        </is>
      </c>
      <c r="E11" s="30" t="inlineStr">
        <is>
          <t>1、用户已登录
2、用户无免费旋转赢钱记录
3、进入一般用户报表查询接口</t>
        </is>
      </c>
      <c r="F11" s="30" t="inlineStr">
        <is>
          <t>1、调用一般用户报表查询接口
2、获取总奖金字段</t>
        </is>
      </c>
      <c r="G11" s="30" t="inlineStr">
        <is>
          <t>1、接口返回成功
2、总奖金 = 原始总奖金（无扣除）
3、免费旋转赢钱金额显示为 0 或空</t>
        </is>
      </c>
      <c r="H11" t="inlineStr"/>
      <c r="I11" s="30" t="inlineStr">
        <is>
          <t>【功能测试】【P0】</t>
        </is>
      </c>
    </row>
    <row r="12">
      <c r="A12" t="inlineStr">
        <is>
          <t>5</t>
        </is>
      </c>
      <c r="B12" t="inlineStr">
        <is>
          <t>账服</t>
        </is>
      </c>
      <c r="C12" t="inlineStr">
        <is>
          <t>一般用户报表</t>
        </is>
      </c>
      <c r="D12" t="inlineStr">
        <is>
          <t>新增免费旋转奖金字段展示</t>
        </is>
      </c>
      <c r="E12" s="30" t="inlineStr">
        <is>
          <t>1、用户已登录
2、用户有免费旋转奖金记录
3、进入一般用户报表查询接口</t>
        </is>
      </c>
      <c r="F12" s="30" t="inlineStr">
        <is>
          <t>1、调用一般用户报表查询接口
2、获取免费旋转奖金字段</t>
        </is>
      </c>
      <c r="G12" s="30" t="inlineStr">
        <is>
          <t>1、接口返回成功
2、免费旋转奖金字段存在且有值
3、免费旋转奖金已扣除游戏内免费模式赢的钱
4、数据与活动记录/次数变化记录中的新增免费次数赢总金额一致</t>
        </is>
      </c>
      <c r="H12" t="inlineStr"/>
      <c r="I12" s="30" t="inlineStr">
        <is>
          <t>【功能测试】【P0】</t>
        </is>
      </c>
    </row>
    <row r="13">
      <c r="A13" t="inlineStr">
        <is>
          <t>6</t>
        </is>
      </c>
      <c r="B13" t="inlineStr">
        <is>
          <t>账服</t>
        </is>
      </c>
      <c r="C13" t="inlineStr">
        <is>
          <t>一般用户报表</t>
        </is>
      </c>
      <c r="D13" t="inlineStr">
        <is>
          <t>免费旋转奖金精度验证 - 两位小数</t>
        </is>
      </c>
      <c r="E13" s="30" t="inlineStr">
        <is>
          <t>1、用户已登录
2、用户免费旋转奖金计算结果为多位小数
3、进入一般用户报表查询接口</t>
        </is>
      </c>
      <c r="F13" s="30" t="inlineStr">
        <is>
          <t>1、调用一般用户报表查询接口
2、获取免费旋转奖金字段</t>
        </is>
      </c>
      <c r="G13" s="30" t="inlineStr">
        <is>
          <t>1、接口返回成功
2、免费旋转奖金显示小数点后两位
3、第三位及以后按四舍五入处理</t>
        </is>
      </c>
      <c r="H13" t="inlineStr"/>
      <c r="I13" s="30" t="inlineStr">
        <is>
          <t>【边界测试】【P1】</t>
        </is>
      </c>
    </row>
    <row r="14">
      <c r="A14" t="inlineStr">
        <is>
          <t>7</t>
        </is>
      </c>
      <c r="B14" t="inlineStr">
        <is>
          <t>账服</t>
        </is>
      </c>
      <c r="C14" t="inlineStr">
        <is>
          <t>一般用户报表</t>
        </is>
      </c>
      <c r="D14" t="inlineStr">
        <is>
          <t>免费旋转奖金精度验证 - 正好两位</t>
        </is>
      </c>
      <c r="E14" s="30" t="inlineStr">
        <is>
          <t>1、用户已登录
2、用户免费旋转奖金计算结果正好两位小数
3、进入一般用户报表查询接口</t>
        </is>
      </c>
      <c r="F14" s="30" t="inlineStr">
        <is>
          <t>1、调用一般用户报表查询接口
2、获取免费旋转奖金字段</t>
        </is>
      </c>
      <c r="G14" s="30" t="inlineStr">
        <is>
          <t>1、接口返回成功
2、免费旋转奖金保持原值不变</t>
        </is>
      </c>
      <c r="H14" t="inlineStr"/>
      <c r="I14" s="30" t="inlineStr">
        <is>
          <t>【边界测试】【P1】</t>
        </is>
      </c>
    </row>
    <row r="15">
      <c r="A15" t="inlineStr">
        <is>
          <t>8</t>
        </is>
      </c>
      <c r="B15" t="inlineStr">
        <is>
          <t>账服</t>
        </is>
      </c>
      <c r="C15" t="inlineStr">
        <is>
          <t>一般用户报表</t>
        </is>
      </c>
      <c r="D15" t="inlineStr">
        <is>
          <t>免费旋转奖金精度验证 - 整数</t>
        </is>
      </c>
      <c r="E15" s="30" t="inlineStr">
        <is>
          <t>1、用户已登录
2、用户免费旋转奖金为整数
3、进入一般用户报表查询接口</t>
        </is>
      </c>
      <c r="F15" s="30" t="inlineStr">
        <is>
          <t>1、调用一般用户报表查询接口
2、获取免费旋转奖金字段</t>
        </is>
      </c>
      <c r="G15" s="30" t="inlineStr">
        <is>
          <t>1、接口返回成功
2、免费旋转奖金显示为 X.00 或 X（根据系统约定）</t>
        </is>
      </c>
      <c r="H15" t="inlineStr"/>
      <c r="I15" s="30" t="inlineStr">
        <is>
          <t>【边界测试】【P2】</t>
        </is>
      </c>
    </row>
    <row r="16">
      <c r="A16" t="inlineStr">
        <is>
          <t>9</t>
        </is>
      </c>
      <c r="B16" t="inlineStr">
        <is>
          <t>账服</t>
        </is>
      </c>
      <c r="C16" t="inlineStr">
        <is>
          <t>一般用户报表</t>
        </is>
      </c>
      <c r="D16" t="inlineStr">
        <is>
          <t>免费旋转奖金无中奖记录</t>
        </is>
      </c>
      <c r="E16" s="30" t="inlineStr">
        <is>
          <t>1、用户已登录
2、用户无免费旋转奖金记录
3、进入一般用户报表查询接口</t>
        </is>
      </c>
      <c r="F16" s="30" t="inlineStr">
        <is>
          <t>1、调用一般用户报表查询接口
2、获取免费旋转奖金字段</t>
        </is>
      </c>
      <c r="G16" s="30" t="inlineStr">
        <is>
          <t>1、接口返回成功
2、免费旋转奖金显示为 0 或空</t>
        </is>
      </c>
      <c r="H16" t="inlineStr"/>
      <c r="I16" s="30" t="inlineStr">
        <is>
          <t>【功能测试】【P1】</t>
        </is>
      </c>
    </row>
    <row r="17">
      <c r="A17" t="inlineStr">
        <is>
          <t>10</t>
        </is>
      </c>
      <c r="B17" t="inlineStr">
        <is>
          <t>账服</t>
        </is>
      </c>
      <c r="C17" t="inlineStr">
        <is>
          <t>一般用户报表</t>
        </is>
      </c>
      <c r="D17" t="inlineStr">
        <is>
          <t>一般用户报表接口权限校验</t>
        </is>
      </c>
      <c r="E17" s="30" t="inlineStr">
        <is>
          <t>1、未登录或 token 过期
2、调用一般用户报表查询接口</t>
        </is>
      </c>
      <c r="F17" s="30" t="inlineStr">
        <is>
          <t>1、调用一般用户报表查询接口</t>
        </is>
      </c>
      <c r="G17" s="30" t="inlineStr">
        <is>
          <t>1、接口返回失败
2、返回相应错误码（如 401 未授权）
3、不返回任何报表数据</t>
        </is>
      </c>
      <c r="H17" t="inlineStr"/>
      <c r="I17" s="30" t="inlineStr">
        <is>
          <t>【异常测试】【P1】</t>
        </is>
      </c>
    </row>
    <row r="18">
      <c r="A18" t="inlineStr">
        <is>
          <t>11</t>
        </is>
      </c>
      <c r="B18" t="inlineStr">
        <is>
          <t>账服</t>
        </is>
      </c>
      <c r="C18" t="inlineStr">
        <is>
          <t>活动记录</t>
        </is>
      </c>
      <c r="D18" t="inlineStr">
        <is>
          <t>免费次数赢总金额统计正确</t>
        </is>
      </c>
      <c r="E18" s="30" t="inlineStr">
        <is>
          <t>1、用户已登录
2、用户有多条免费旋转赠送次数记录
3、进入活动记录查询接口</t>
        </is>
      </c>
      <c r="F18" s="30" t="inlineStr">
        <is>
          <t>1、调用活动记录查询接口
2、获取免费次数赢总金额字段</t>
        </is>
      </c>
      <c r="G18" s="30" t="inlineStr">
        <is>
          <t>1、接口返回成功
2、免费次数赢总金额 = 所有免费旋转赠送次数内赢的钱累计
3、不包含触发游戏内免费模式赢的金额</t>
        </is>
      </c>
      <c r="H18" t="inlineStr"/>
      <c r="I18" s="30" t="inlineStr">
        <is>
          <t>【功能测试】【P0】</t>
        </is>
      </c>
    </row>
    <row r="19">
      <c r="A19" t="inlineStr">
        <is>
          <t>12</t>
        </is>
      </c>
      <c r="B19" t="inlineStr">
        <is>
          <t>账服</t>
        </is>
      </c>
      <c r="C19" t="inlineStr">
        <is>
          <t>活动记录</t>
        </is>
      </c>
      <c r="D19" t="inlineStr">
        <is>
          <t>免费次数赢金额字段展示</t>
        </is>
      </c>
      <c r="E19" s="30" t="inlineStr">
        <is>
          <t>1、用户已登录
2、用户有单次免费旋转赠送次数赢钱记录
3、进入活动记录列表查询接口</t>
        </is>
      </c>
      <c r="F19" s="30" t="inlineStr">
        <is>
          <t>1、调用活动记录列表查询接口
2、获取免费次数赢金额字段</t>
        </is>
      </c>
      <c r="G19" s="30" t="inlineStr">
        <is>
          <t>1、接口返回成功
2、每条记录显示对应的免费次数赢金额
3、不包含触发游戏内免费模式赢的金额</t>
        </is>
      </c>
      <c r="H19" t="inlineStr"/>
      <c r="I19" s="30" t="inlineStr">
        <is>
          <t>【功能测试】【P0】</t>
        </is>
      </c>
    </row>
    <row r="20">
      <c r="A20" t="inlineStr">
        <is>
          <t>13</t>
        </is>
      </c>
      <c r="B20" t="inlineStr">
        <is>
          <t>账服</t>
        </is>
      </c>
      <c r="C20" t="inlineStr">
        <is>
          <t>活动记录</t>
        </is>
      </c>
      <c r="D20" t="inlineStr">
        <is>
          <t>免费次数赢金额精度验证</t>
        </is>
      </c>
      <c r="E20" s="30" t="inlineStr">
        <is>
          <t>1、用户已登录
2、免费次数赢金额计算结果为多位小数
3、进入活动记录列表查询接口</t>
        </is>
      </c>
      <c r="F20" s="30" t="inlineStr">
        <is>
          <t>1、调用活动记录列表查询接口
2、获取免费次数赢金额字段</t>
        </is>
      </c>
      <c r="G20" s="30" t="inlineStr">
        <is>
          <t>1、接口返回成功
2、金额显示小数点后两位
3、第三位及以后按四舍五入处理</t>
        </is>
      </c>
      <c r="H20" t="inlineStr"/>
      <c r="I20" s="30" t="inlineStr">
        <is>
          <t>【边界测试】【P1】</t>
        </is>
      </c>
    </row>
    <row r="21">
      <c r="A21" t="inlineStr">
        <is>
          <t>14</t>
        </is>
      </c>
      <c r="B21" t="inlineStr">
        <is>
          <t>账服</t>
        </is>
      </c>
      <c r="C21" t="inlineStr">
        <is>
          <t>活动记录</t>
        </is>
      </c>
      <c r="D21" t="inlineStr">
        <is>
          <t>活动记录查询 31 天范围内 - 正好 31 天</t>
        </is>
      </c>
      <c r="E21" s="30" t="inlineStr">
        <is>
          <t>1、用户已登录
2、选择起始日期和结束日期相差正好 31 天
3、调用活动记录查询接口</t>
        </is>
      </c>
      <c r="F21" s="30" t="inlineStr">
        <is>
          <t>1、调用活动记录查询接口
2、传入 31 天时间范围</t>
        </is>
      </c>
      <c r="G21" s="30" t="inlineStr">
        <is>
          <t>1、接口返回成功
2、查询结果正常返回
3、不提示时间范围错误</t>
        </is>
      </c>
      <c r="H21" t="inlineStr"/>
      <c r="I21" s="30" t="inlineStr">
        <is>
          <t>【边界测试】【P0】</t>
        </is>
      </c>
    </row>
    <row r="22">
      <c r="A22" t="inlineStr">
        <is>
          <t>15</t>
        </is>
      </c>
      <c r="B22" t="inlineStr">
        <is>
          <t>账服</t>
        </is>
      </c>
      <c r="C22" t="inlineStr">
        <is>
          <t>活动记录</t>
        </is>
      </c>
      <c r="D22" t="inlineStr">
        <is>
          <t>活动记录查询 31 天范围内 - 小于 31 天</t>
        </is>
      </c>
      <c r="E22" s="30" t="inlineStr">
        <is>
          <t>1、用户已登录
2、选择起始日期和结束日期相差小于 31 天
3、调用活动记录查询接口</t>
        </is>
      </c>
      <c r="F22" s="30" t="inlineStr">
        <is>
          <t>1、调用活动记录查询接口
2、传入小于 31 天的时间范围</t>
        </is>
      </c>
      <c r="G22" s="30" t="inlineStr">
        <is>
          <t>1、接口返回成功
2、查询结果正常返回</t>
        </is>
      </c>
      <c r="H22" t="inlineStr"/>
      <c r="I22" s="30" t="inlineStr">
        <is>
          <t>【功能测试】【P0】</t>
        </is>
      </c>
    </row>
    <row r="23">
      <c r="A23" t="inlineStr">
        <is>
          <t>16</t>
        </is>
      </c>
      <c r="B23" t="inlineStr">
        <is>
          <t>账服</t>
        </is>
      </c>
      <c r="C23" t="inlineStr">
        <is>
          <t>活动记录</t>
        </is>
      </c>
      <c r="D23" t="inlineStr">
        <is>
          <t>活动记录查询 31 天范围内 - 1 天</t>
        </is>
      </c>
      <c r="E23" s="30" t="inlineStr">
        <is>
          <t>1、用户已登录
2、选择起始日期和结束日期为同一天
3、调用活动记录查询接口</t>
        </is>
      </c>
      <c r="F23" s="30" t="inlineStr">
        <is>
          <t>1、调用活动记录查询接口
2、传入 1 天的时间范围</t>
        </is>
      </c>
      <c r="G23" s="30" t="inlineStr">
        <is>
          <t>1、接口返回成功
2、查询结果正常返回（返回当天数据或空结果）</t>
        </is>
      </c>
      <c r="H23" t="inlineStr"/>
      <c r="I23" s="30" t="inlineStr">
        <is>
          <t>【边界测试】【P1】</t>
        </is>
      </c>
    </row>
    <row r="24">
      <c r="A24" t="inlineStr">
        <is>
          <t>17</t>
        </is>
      </c>
      <c r="B24" t="inlineStr">
        <is>
          <t>账服</t>
        </is>
      </c>
      <c r="C24" t="inlineStr">
        <is>
          <t>活动记录</t>
        </is>
      </c>
      <c r="D24" t="inlineStr">
        <is>
          <t>活动记录查询超过 31 天 - 32 天</t>
        </is>
      </c>
      <c r="E24" s="30" t="inlineStr">
        <is>
          <t>1、用户已登录
2、选择起始日期和结束日期相差 32 天
3、调用活动记录查询接口</t>
        </is>
      </c>
      <c r="F24" s="30" t="inlineStr">
        <is>
          <t>1、调用活动记录查询接口
2、传入 32 天的时间范围</t>
        </is>
      </c>
      <c r="G24" s="30" t="inlineStr">
        <is>
          <t>1、接口返回失败或返回错误提示
2、提示信息：搜索跨度区间只能在 31 天内，请重新设置时间区间</t>
        </is>
      </c>
      <c r="H24" t="inlineStr"/>
      <c r="I24" s="30" t="inlineStr">
        <is>
          <t>【异常测试】【P0】</t>
        </is>
      </c>
    </row>
    <row r="25">
      <c r="A25" t="inlineStr">
        <is>
          <t>18</t>
        </is>
      </c>
      <c r="B25" t="inlineStr">
        <is>
          <t>账服</t>
        </is>
      </c>
      <c r="C25" t="inlineStr">
        <is>
          <t>活动记录</t>
        </is>
      </c>
      <c r="D25" t="inlineStr">
        <is>
          <t>活动记录查询超过 31 天 - 60 天</t>
        </is>
      </c>
      <c r="E25" s="30" t="inlineStr">
        <is>
          <t>1、用户已登录
2、选择起始日期和结束日期相差 60 天
3、调用活动记录查询接口</t>
        </is>
      </c>
      <c r="F25" s="30" t="inlineStr">
        <is>
          <t>1、调用活动记录查询接口
2、传入 60 天的时间范围</t>
        </is>
      </c>
      <c r="G25" s="30" t="inlineStr">
        <is>
          <t>1、接口返回失败或返回错误提示
2、提示信息：搜索跨度区间只能在 31 天内，请重新设置时间区间</t>
        </is>
      </c>
      <c r="H25" t="inlineStr"/>
      <c r="I25" s="30" t="inlineStr">
        <is>
          <t>【异常测试】【P1】</t>
        </is>
      </c>
    </row>
    <row r="26">
      <c r="A26" t="inlineStr">
        <is>
          <t>19</t>
        </is>
      </c>
      <c r="B26" t="inlineStr">
        <is>
          <t>账服</t>
        </is>
      </c>
      <c r="C26" t="inlineStr">
        <is>
          <t>活动记录</t>
        </is>
      </c>
      <c r="D26" t="inlineStr">
        <is>
          <t>活动记录查询时间范围未传参数</t>
        </is>
      </c>
      <c r="E26" s="30" t="inlineStr">
        <is>
          <t>1、用户已登录
2、调用活动记录查询接口不传时间参数</t>
        </is>
      </c>
      <c r="F26" s="30" t="inlineStr">
        <is>
          <t>1、调用活动记录查询接口
2、不传时间范围参数</t>
        </is>
      </c>
      <c r="G26" s="30" t="inlineStr">
        <is>
          <t>1、接口返回成功或失败（根据系统默认行为）
2、若系统有默认时间范围则返回默认范围数据
3、若时间参数必填则返回相应错误提示</t>
        </is>
      </c>
      <c r="H26" t="inlineStr"/>
      <c r="I26" s="30" t="inlineStr">
        <is>
          <t>【异常测试】【P1】</t>
        </is>
      </c>
    </row>
    <row r="27">
      <c r="A27" t="inlineStr">
        <is>
          <t>20</t>
        </is>
      </c>
      <c r="B27" t="inlineStr">
        <is>
          <t>账服</t>
        </is>
      </c>
      <c r="C27" t="inlineStr">
        <is>
          <t>活动记录</t>
        </is>
      </c>
      <c r="D27" t="inlineStr">
        <is>
          <t>活动记录查询时间格式错误</t>
        </is>
      </c>
      <c r="E27" s="30" t="inlineStr">
        <is>
          <t>1、用户已登录
2、传入格式错误的时间参数（如 2026-13-45）
3、调用活动记录查询接口</t>
        </is>
      </c>
      <c r="F27" s="30" t="inlineStr">
        <is>
          <t>1、调用活动记录查询接口
2、传入格式错误的时间参数</t>
        </is>
      </c>
      <c r="G27" s="30" t="inlineStr">
        <is>
          <t>1、接口返回失败
2、返回相应格式错误提示</t>
        </is>
      </c>
      <c r="H27" t="inlineStr"/>
      <c r="I27" s="30" t="inlineStr">
        <is>
          <t>【异常测试】【P1】</t>
        </is>
      </c>
    </row>
    <row r="28">
      <c r="A28" t="inlineStr">
        <is>
          <t>21</t>
        </is>
      </c>
      <c r="B28" t="inlineStr">
        <is>
          <t>账服</t>
        </is>
      </c>
      <c r="C28" t="inlineStr">
        <is>
          <t>活动记录</t>
        </is>
      </c>
      <c r="D28" t="inlineStr">
        <is>
          <t>活动记录查询无数据</t>
        </is>
      </c>
      <c r="E28" s="30" t="inlineStr">
        <is>
          <t>1、用户已登录
2、选择的时间范围内无任何活动记录
3、调用活动记录查询接口</t>
        </is>
      </c>
      <c r="F28" s="30" t="inlineStr">
        <is>
          <t>1、调用活动记录查询接口
2、传入无数据的时间范围</t>
        </is>
      </c>
      <c r="G28" s="30" t="inlineStr">
        <is>
          <t>1、接口返回成功
2、返回空列表或数据总数为 0
3、不报错</t>
        </is>
      </c>
      <c r="H28" t="inlineStr"/>
      <c r="I28" s="30" t="inlineStr">
        <is>
          <t>【功能测试】【P1】</t>
        </is>
      </c>
    </row>
    <row r="29">
      <c r="A29" t="inlineStr">
        <is>
          <t>22</t>
        </is>
      </c>
      <c r="B29" t="inlineStr">
        <is>
          <t>账服</t>
        </is>
      </c>
      <c r="C29" t="inlineStr">
        <is>
          <t>活动记录</t>
        </is>
      </c>
      <c r="D29" t="inlineStr">
        <is>
          <t>活动记录权限校验</t>
        </is>
      </c>
      <c r="E29" s="30" t="inlineStr">
        <is>
          <t>1、未登录或 token 过期
2、调用活动记录查询接口</t>
        </is>
      </c>
      <c r="F29" s="30" t="inlineStr">
        <is>
          <t>1、调用活动记录查询接口</t>
        </is>
      </c>
      <c r="G29" s="30" t="inlineStr">
        <is>
          <t>1、接口返回失败
2、返回相应错误码（如 401 未授权）
3、不返回任何活动记录数据</t>
        </is>
      </c>
      <c r="H29" t="inlineStr"/>
      <c r="I29" s="30" t="inlineStr">
        <is>
          <t>【异常测试】【P1】</t>
        </is>
      </c>
    </row>
    <row r="30">
      <c r="A30" t="inlineStr">
        <is>
          <t>23</t>
        </is>
      </c>
      <c r="B30" t="inlineStr">
        <is>
          <t>账服</t>
        </is>
      </c>
      <c r="C30" t="inlineStr">
        <is>
          <t>一般用户报表</t>
        </is>
      </c>
      <c r="D30" t="inlineStr">
        <is>
          <t>免费旋转投注金额数据一致性</t>
        </is>
      </c>
      <c r="E30" s="30" t="inlineStr">
        <is>
          <t>1、用户已登录
2、用户有免费旋转投注记录
3、同时有一般用户报表和活动记录查询接口可用</t>
        </is>
      </c>
      <c r="F30" s="30" t="inlineStr">
        <is>
          <t>1、调用一般用户报表获取免费旋转投注金额
2、调用活动记录/次数变化记录获取下注总金额
3、对比两个数据</t>
        </is>
      </c>
      <c r="G30" s="30" t="inlineStr">
        <is>
          <t>1、两个接口均返回成功
2、一般用户报表的免费旋转投注金额 = 活动记录/次数变化记录的下注总金额
3、数据完全一致</t>
        </is>
      </c>
      <c r="H30" t="inlineStr"/>
      <c r="I30" s="30" t="inlineStr">
        <is>
          <t>【数据一致性】【P0】</t>
        </is>
      </c>
    </row>
    <row r="31">
      <c r="A31" t="inlineStr">
        <is>
          <t>24</t>
        </is>
      </c>
      <c r="B31" t="inlineStr">
        <is>
          <t>账服</t>
        </is>
      </c>
      <c r="C31" t="inlineStr">
        <is>
          <t>一般用户报表</t>
        </is>
      </c>
      <c r="D31" t="inlineStr">
        <is>
          <t>免费旋转奖金数据一致性</t>
        </is>
      </c>
      <c r="E31" s="30" t="inlineStr">
        <is>
          <t>1、用户已登录
2、用户有免费旋转奖金记录
3、同时有一般用户报表和活动记录查询接口可用</t>
        </is>
      </c>
      <c r="F31" s="30" t="inlineStr">
        <is>
          <t>1、调用一般用户报表获取免费旋转奖金
2、调用活动记录/次数变化记录获取新增免费次数赢总金额
3、对比两个数据</t>
        </is>
      </c>
      <c r="G31" s="30" t="inlineStr">
        <is>
          <t>1、两个接口均返回成功
2、一般用户报表的免费旋转奖金 = 活动记录/次数变化记录的新增免费次数赢总金额
3、数据完全一致</t>
        </is>
      </c>
      <c r="H31" t="inlineStr"/>
      <c r="I31" s="30" t="inlineStr">
        <is>
          <t>【数据一致性】【P0】</t>
        </is>
      </c>
    </row>
    <row r="32">
      <c r="A32" t="inlineStr">
        <is>
          <t>25</t>
        </is>
      </c>
      <c r="B32" t="inlineStr">
        <is>
          <t>账服</t>
        </is>
      </c>
      <c r="C32" t="inlineStr">
        <is>
          <t>一般用户报表</t>
        </is>
      </c>
      <c r="D32" t="inlineStr">
        <is>
          <t>免费次数赢金额数据一致性</t>
        </is>
      </c>
      <c r="E32" s="30" t="inlineStr">
        <is>
          <t>1、用户已登录
2、用户有免费次数赢钱记录
3、同时有一般用户报表和活动记录查询接口可用</t>
        </is>
      </c>
      <c r="F32" s="30" t="inlineStr">
        <is>
          <t>1、调用一般用户报表获取免费旋转赢的钱
2、调用活动记录/次数变化记录获取免费次数赢总金额
3、对比两个数据</t>
        </is>
      </c>
      <c r="G32" s="30" t="inlineStr">
        <is>
          <t>1、两个接口均返回成功
2、数据完全一致</t>
        </is>
      </c>
      <c r="H32" t="inlineStr"/>
      <c r="I32" s="30" t="inlineStr">
        <is>
          <t>【数据一致性】【P0】</t>
        </is>
      </c>
    </row>
  </sheetData>
  <mergeCells count="6">
    <mergeCell ref="B3:D3"/>
    <mergeCell ref="B5:D5"/>
    <mergeCell ref="B6:F6"/>
    <mergeCell ref="A1:F1"/>
    <mergeCell ref="B4:D4"/>
    <mergeCell ref="B2:D2"/>
  </mergeCells>
  <conditionalFormatting sqref="H8">
    <cfRule type="cellIs" priority="1" operator="equal" dxfId="2" stopIfTrue="1">
      <formula>"N/A"</formula>
    </cfRule>
    <cfRule type="cellIs" priority="2" operator="equal" dxfId="1" stopIfTrue="1">
      <formula>"Fail"</formula>
    </cfRule>
    <cfRule type="cellIs" priority="3" operator="equal" dxfId="0" stopIfTrue="1">
      <formula>"Pass"</formula>
    </cfRule>
  </conditionalFormatting>
  <dataValidations count="1">
    <dataValidation sqref="H8" showDropDown="0" showInputMessage="1" showErrorMessage="1" allowBlank="1" type="list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2026-03-27T08:50:12Z</dcterms:created>
  <dcterms:modified xsi:type="dcterms:W3CDTF">2026-03-30T05:45:13Z</dcterms:modified>
  <cp:lastModifiedBy>lrwei91 .</cp:lastModifiedBy>
</cp:coreProperties>
</file>