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67e4dc8a77a56f8/项目/白果/测试用例/一部/2026/3月/"/>
    </mc:Choice>
  </mc:AlternateContent>
  <xr:revisionPtr revIDLastSave="72" documentId="11_9F0ADCD0F66DFF195FE5978C4547DF719532C4F0" xr6:coauthVersionLast="47" xr6:coauthVersionMax="47" xr10:uidLastSave="{AF963794-46A9-4A39-BAA7-82389E9EAA29}"/>
  <bookViews>
    <workbookView xWindow="28680" yWindow="-90" windowWidth="29040" windowHeight="15720" xr2:uid="{00000000-000D-0000-FFFF-FFFF00000000}"/>
  </bookViews>
  <sheets>
    <sheet name="分享好礼优化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H1" i="1" s="1"/>
</calcChain>
</file>

<file path=xl/sharedStrings.xml><?xml version="1.0" encoding="utf-8"?>
<sst xmlns="http://schemas.openxmlformats.org/spreadsheetml/2006/main" count="103" uniqueCount="80">
  <si>
    <t>分享好礼优化</t>
  </si>
  <si>
    <t>测试总数量</t>
  </si>
  <si>
    <t>测试平台</t>
  </si>
  <si>
    <t>Cocos10、12、13、15 Web1、5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</si>
  <si>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</si>
  <si>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</si>
  <si>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</si>
  <si>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</si>
  <si>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</si>
  <si>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</si>
  <si>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</si>
  <si>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</si>
  <si>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</si>
  <si>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</si>
  <si>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</si>
  <si>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</si>
  <si>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</si>
  <si>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</si>
  <si>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</si>
  <si>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</si>
  <si>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</si>
  <si>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</si>
  <si>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</si>
  <si>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</si>
  <si>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后端</t>
  </si>
  <si>
    <t>分享好礼</t>
  </si>
  <si>
    <t>手动领取开关默认关闭验证</t>
  </si>
  <si>
    <t>1、进入分享好礼页面
2、等待宝箱奖励达到领取条件
3、观察奖励是否自动发放</t>
  </si>
  <si>
    <t>1、宝箱奖励达标后自动发放到用户佣金账户（bonus）
2、无需用户手动操作</t>
  </si>
  <si>
    <t/>
  </si>
  <si>
    <t>手动领取开关开启操作</t>
  </si>
  <si>
    <t>1、进入全民代页面
2、等待宝箱奖励达到领取条件</t>
  </si>
  <si>
    <t>开关关闭时二次确认弹窗验证</t>
  </si>
  <si>
    <t>1、进入分享好礼页面
2、点击宝箱奖励开关将其关闭
3、观察弹窗提示
4、点击确认</t>
  </si>
  <si>
    <t>1、弹出二次确认弹窗
2、弹窗提示用户确认关闭手动领取模式
3、确认后开关状态变为关闭
4、待领取状态消失，恢复自动发放逻辑</t>
  </si>
  <si>
    <t>二次确认弹窗取消操作</t>
  </si>
  <si>
    <t>1、进入分享好礼页面
2、点击开启开关
3、在二次确认弹窗中点击取消
4、观察开关状态</t>
  </si>
  <si>
    <t>1、弹窗关闭
2、开关状态保持关闭
3、无任何数据变更</t>
  </si>
  <si>
    <t>开关状态权限验证</t>
  </si>
  <si>
    <t>领取后奖励明细记录查询</t>
  </si>
  <si>
    <t>客户端</t>
  </si>
  <si>
    <t>手动领取待领取状态显示</t>
  </si>
  <si>
    <t>1、开关已开启
2、存在达到领取条件的宝箱奖励</t>
  </si>
  <si>
    <t>1、进入全民代
2、查看宝箱奖励区域
3、确认宝箱奖励状态</t>
  </si>
  <si>
    <t>手动领取可领取宝箱奖励</t>
  </si>
  <si>
    <t>1、开关已开启
2、存在待领取的宝箱奖励</t>
  </si>
  <si>
    <t>1、进入全民代
2、点击领取可领取宝箱奖励
3、观察领取结果提示</t>
  </si>
  <si>
    <t>1、弹出领取成功提示
2、可领取宝箱奖励状态更新
3、奖励金额发放到用户佣金账户（bonus）
4、待领取状态消失，变更为已领取</t>
  </si>
  <si>
    <t>领取成功提示</t>
  </si>
  <si>
    <t>1、语言设置为 en-us（英语）
2、开关已开启
3、存在待领取宝箱奖励</t>
  </si>
  <si>
    <t>1、设置系统语言为英语
2、进入全民代
3、手动领取宝箱奖励
4、观察提示信息</t>
  </si>
  <si>
    <t>提示信息显示：Reward has been claimed. Please check your Bonus account</t>
  </si>
  <si>
    <t>手动领取奖励到账验证</t>
  </si>
  <si>
    <t>1、开关已开启
2、存在待领取宝箱奖励
3、记录当前用户佣金账户（bonus）余额</t>
  </si>
  <si>
    <t>1、进入全民代
2、手动领取宝箱奖励
3、进入用户佣金账户（bonus）查看余额
4、对比领取前后余额变化</t>
  </si>
  <si>
    <t>1、奖励成功发放到用户佣金账户（bonus）
2、用户余额增加，金额与宝箱奖励一致
3、领取记录可查询</t>
  </si>
  <si>
    <t>重复点击领取验证</t>
  </si>
  <si>
    <t>1、开关已开启
2、存在待领取宝箱奖励</t>
  </si>
  <si>
    <t>1、进入全民代
2、快速连续多次点击可领取的宝箱
3、观察领取结果和账户变化</t>
  </si>
  <si>
    <t>1、系统防重复提交处理
2、只成功领取一次
3、用户佣金账户（bonus）只增加应得奖励金额
4、无重复发放问题</t>
  </si>
  <si>
    <t>从开启切换到关闭状态数据一致性</t>
  </si>
  <si>
    <t>1、宝箱奖励达标后需用户手动操作点击领取
2、宝箱状态变更为已领取状态</t>
    <phoneticPr fontId="6" type="noConversion"/>
  </si>
  <si>
    <t>1、进入分享好礼页面</t>
    <phoneticPr fontId="6" type="noConversion"/>
  </si>
  <si>
    <t>1、不显示分享好礼宝箱相关的功能</t>
    <phoneticPr fontId="6" type="noConversion"/>
  </si>
  <si>
    <t>1、后台开关默认值为0（关闭）</t>
    <phoneticPr fontId="6" type="noConversion"/>
  </si>
  <si>
    <t xml:space="preserve">
1、当前开关状态为关闭</t>
    <phoneticPr fontId="6" type="noConversion"/>
  </si>
  <si>
    <t>1、当前开关状态为开启
2、存在待领取的宝箱奖励</t>
    <phoneticPr fontId="6" type="noConversion"/>
  </si>
  <si>
    <t>1、后台设置为1（开启）</t>
    <phoneticPr fontId="6" type="noConversion"/>
  </si>
  <si>
    <t>1、用户无权限</t>
    <phoneticPr fontId="6" type="noConversion"/>
  </si>
  <si>
    <t>1、开关已开启
2、已成功领取宝箱奖励</t>
    <phoneticPr fontId="6" type="noConversion"/>
  </si>
  <si>
    <t>1、显示领取时间、金额等明细
2、用户佣金账户（bonus）记录与领取金额一致</t>
    <phoneticPr fontId="6" type="noConversion"/>
  </si>
  <si>
    <t>1、进入全民代管理
2、查看已领取分享好礼记录
3、查看用户佣金账户（bonus）明细</t>
    <phoneticPr fontId="6" type="noConversion"/>
  </si>
  <si>
    <t>1、宝箱奖励显示为待领取状态
2、显示可领取的奖励金额</t>
    <phoneticPr fontId="6" type="noConversion"/>
  </si>
  <si>
    <t>手动领取多个可领取宝箱奖励</t>
    <phoneticPr fontId="6" type="noConversion"/>
  </si>
  <si>
    <t>1、进入全民代
2、点击领取可领取宝箱奖励
3、观察领取结果提示</t>
    <phoneticPr fontId="6" type="noConversion"/>
  </si>
  <si>
    <t>1、开关已开启
2、存在多个待领取的宝箱奖励</t>
    <phoneticPr fontId="6" type="noConversion"/>
  </si>
  <si>
    <t>1、开关已开启
2、存在待领取宝箱奖励</t>
    <phoneticPr fontId="6" type="noConversion"/>
  </si>
  <si>
    <t>1、弹出领取成功提示
2、一次性领取所有可领取的宝箱奖励
3、可领取宝箱奖励状态更新
4、奖励金额发放到用户佣金账户（bonus）
5、待领取状态消失，变更为已领取
6、后台奖励合并为一条记录</t>
    <phoneticPr fontId="6" type="noConversion"/>
  </si>
  <si>
    <t>1、进入全民代
2、不领取奖励，切换为自动领取
3、观察待领取奖励处理</t>
    <phoneticPr fontId="6" type="noConversion"/>
  </si>
  <si>
    <t>1、开关关闭后待领取奖励按原逻辑自动处理，需刷新页面（自动领取为定时任务，需等待触发，不会立刻执行）
2、奖励不会丢失
3、最终奖励正确发放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</si>
</sst>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0"/>
      <name val="宋体"/>
      <family val="3"/>
      <charset val="134"/>
    </font>
    <font>
      <b/>
      <sz val="12"/>
      <color theme="1"/>
      <name val="微軟正黑體"/>
      <charset val="136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rgb="FF0000FF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2"/>
      <color rgb="FF7030A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4" borderId="1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14" fontId="8" fillId="5" borderId="3" xfId="1" applyNumberFormat="1" applyFont="1" applyFill="1" applyBorder="1" applyAlignment="1">
      <alignment horizontal="center" vertical="center" wrapText="1"/>
    </xf>
    <xf numFmtId="14" fontId="8" fillId="5" borderId="2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4" fontId="8" fillId="5" borderId="1" xfId="1" applyNumberFormat="1" applyFont="1" applyFill="1" applyBorder="1" applyAlignment="1">
      <alignment horizontal="left" vertical="center"/>
    </xf>
    <xf numFmtId="0" fontId="9" fillId="5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1" fillId="5" borderId="1" xfId="1" applyNumberFormat="1" applyFont="1" applyFill="1" applyBorder="1" applyAlignment="1">
      <alignment horizontal="left" vertical="center"/>
    </xf>
    <xf numFmtId="46" fontId="8" fillId="5" borderId="1" xfId="1" applyNumberFormat="1" applyFont="1" applyFill="1" applyBorder="1" applyAlignment="1">
      <alignment horizontal="left" vertical="center"/>
    </xf>
    <xf numFmtId="0" fontId="12" fillId="5" borderId="1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0" fontId="13" fillId="5" borderId="1" xfId="1" applyFont="1" applyFill="1" applyBorder="1" applyAlignment="1">
      <alignment horizontal="center" vertical="center" wrapText="1"/>
    </xf>
    <xf numFmtId="0" fontId="13" fillId="5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7" fillId="2" borderId="1" xfId="1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2">
    <cellStyle name="常规" xfId="0" builtinId="0"/>
    <cellStyle name="一般 10" xfId="1" xr:uid="{00000000-0005-0000-0000-00003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117261</xdr:colOff>
      <xdr:row>8</xdr:row>
      <xdr:rowOff>56029</xdr:rowOff>
    </xdr:from>
    <xdr:to>
      <xdr:col>8</xdr:col>
      <xdr:colOff>862853</xdr:colOff>
      <xdr:row>8</xdr:row>
      <xdr:rowOff>486775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7D83A2-E13A-E5D0-86CB-AC7BCCCDE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74202" y="1826558"/>
          <a:ext cx="745592" cy="430746"/>
        </a:xfrm>
        <a:prstGeom prst="rect">
          <a:avLst/>
        </a:prstGeom>
      </xdr:spPr>
    </xdr:pic>
    <xdr:clientData/>
  </xdr:twoCellAnchor>
  <xdr:twoCellAnchor editAs="oneCell">
    <xdr:from>
      <xdr:col>8</xdr:col>
      <xdr:colOff>106331</xdr:colOff>
      <xdr:row>17</xdr:row>
      <xdr:rowOff>51066</xdr:rowOff>
    </xdr:from>
    <xdr:to>
      <xdr:col>8</xdr:col>
      <xdr:colOff>1042147</xdr:colOff>
      <xdr:row>17</xdr:row>
      <xdr:rowOff>616324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3D7941E-913C-1E7D-E3B2-F17AFB7E0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3272" y="7065948"/>
          <a:ext cx="935816" cy="565258"/>
        </a:xfrm>
        <a:prstGeom prst="rect">
          <a:avLst/>
        </a:prstGeom>
      </xdr:spPr>
    </xdr:pic>
    <xdr:clientData/>
  </xdr:twoCellAnchor>
  <xdr:twoCellAnchor editAs="oneCell">
    <xdr:from>
      <xdr:col>8</xdr:col>
      <xdr:colOff>23212</xdr:colOff>
      <xdr:row>10</xdr:row>
      <xdr:rowOff>56030</xdr:rowOff>
    </xdr:from>
    <xdr:to>
      <xdr:col>9</xdr:col>
      <xdr:colOff>41780</xdr:colOff>
      <xdr:row>10</xdr:row>
      <xdr:rowOff>661238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2576389-6620-0AAF-C964-87D57E2E1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580153" y="2723030"/>
          <a:ext cx="1127951" cy="605208"/>
        </a:xfrm>
        <a:prstGeom prst="rect">
          <a:avLst/>
        </a:prstGeom>
      </xdr:spPr>
    </xdr:pic>
    <xdr:clientData/>
  </xdr:twoCellAnchor>
  <xdr:twoCellAnchor editAs="oneCell">
    <xdr:from>
      <xdr:col>8</xdr:col>
      <xdr:colOff>78442</xdr:colOff>
      <xdr:row>11</xdr:row>
      <xdr:rowOff>535411</xdr:rowOff>
    </xdr:from>
    <xdr:to>
      <xdr:col>12</xdr:col>
      <xdr:colOff>384736</xdr:colOff>
      <xdr:row>13</xdr:row>
      <xdr:rowOff>82752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9D52C264-8E66-5856-BA54-464B9265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35383" y="3930793"/>
          <a:ext cx="3466353" cy="455018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190500</xdr:colOff>
      <xdr:row>13</xdr:row>
      <xdr:rowOff>108389</xdr:rowOff>
    </xdr:from>
    <xdr:to>
      <xdr:col>11</xdr:col>
      <xdr:colOff>239057</xdr:colOff>
      <xdr:row>14</xdr:row>
      <xdr:rowOff>43352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839CE95-34A9-DF2A-E278-29E2CFE4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47441" y="4411448"/>
          <a:ext cx="2525057" cy="472845"/>
        </a:xfrm>
        <a:prstGeom prst="rect">
          <a:avLst/>
        </a:prstGeom>
      </xdr:spPr>
    </xdr:pic>
    <xdr:clientData/>
  </xdr:twoCellAnchor>
  <xdr:twoCellAnchor editAs="oneCell">
    <xdr:from>
      <xdr:col>8</xdr:col>
      <xdr:colOff>112059</xdr:colOff>
      <xdr:row>13</xdr:row>
      <xdr:rowOff>511304</xdr:rowOff>
    </xdr:from>
    <xdr:to>
      <xdr:col>10</xdr:col>
      <xdr:colOff>112059</xdr:colOff>
      <xdr:row>15</xdr:row>
      <xdr:rowOff>48738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D6EDD32C-F921-2979-BCF1-304B372AE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669000" y="4814363"/>
          <a:ext cx="1792941" cy="613199"/>
        </a:xfrm>
        <a:prstGeom prst="rect">
          <a:avLst/>
        </a:prstGeom>
      </xdr:spPr>
    </xdr:pic>
    <xdr:clientData/>
  </xdr:twoCellAnchor>
  <xdr:twoCellAnchor editAs="oneCell">
    <xdr:from>
      <xdr:col>8</xdr:col>
      <xdr:colOff>44822</xdr:colOff>
      <xdr:row>15</xdr:row>
      <xdr:rowOff>720338</xdr:rowOff>
    </xdr:from>
    <xdr:to>
      <xdr:col>11</xdr:col>
      <xdr:colOff>481611</xdr:colOff>
      <xdr:row>16</xdr:row>
      <xdr:rowOff>909664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35435E8-23DA-0B92-E715-00E939BCE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601763" y="6099162"/>
          <a:ext cx="2913289" cy="917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topLeftCell="A10" zoomScale="85" zoomScaleNormal="85" workbookViewId="0">
      <selection activeCell="G18" sqref="G18"/>
    </sheetView>
  </sheetViews>
  <sheetFormatPr defaultColWidth="9" defaultRowHeight="14.25"/>
  <cols>
    <col min="1" max="1" width="13.125" style="3" bestFit="1" customWidth="1"/>
    <col min="2" max="2" width="7.875" style="3" bestFit="1" customWidth="1"/>
    <col min="3" max="3" width="10" style="3" bestFit="1" customWidth="1"/>
    <col min="4" max="4" width="35.375" style="3" bestFit="1" customWidth="1"/>
    <col min="5" max="6" width="42.375" style="3" bestFit="1" customWidth="1"/>
    <col min="7" max="7" width="81.75" style="3" bestFit="1" customWidth="1"/>
    <col min="8" max="8" width="10.625" style="3" bestFit="1" customWidth="1"/>
    <col min="9" max="9" width="14.5" style="3" bestFit="1" customWidth="1"/>
    <col min="10" max="16384" width="9" style="3"/>
  </cols>
  <sheetData>
    <row r="1" spans="1:10" s="1" customFormat="1" ht="16.5">
      <c r="A1" s="9" t="s">
        <v>0</v>
      </c>
      <c r="B1" s="10"/>
      <c r="C1" s="10"/>
      <c r="D1" s="10"/>
      <c r="E1" s="10"/>
      <c r="F1" s="10"/>
      <c r="G1" s="4" t="s">
        <v>1</v>
      </c>
      <c r="H1" s="5">
        <f>H2+H3+H4</f>
        <v>0</v>
      </c>
      <c r="J1" s="6"/>
    </row>
    <row r="2" spans="1:10" s="1" customFormat="1" ht="18">
      <c r="A2" s="12" t="s">
        <v>2</v>
      </c>
      <c r="B2" s="12"/>
      <c r="C2" s="13" t="s">
        <v>3</v>
      </c>
      <c r="D2" s="14"/>
      <c r="E2" s="15" t="s">
        <v>4</v>
      </c>
      <c r="F2" s="16"/>
      <c r="G2" s="17" t="s">
        <v>5</v>
      </c>
      <c r="H2" s="18">
        <f>COUNTIF(H10:H203,"Pass")</f>
        <v>0</v>
      </c>
      <c r="I2" s="19"/>
      <c r="J2" s="6"/>
    </row>
    <row r="3" spans="1:10" s="1" customFormat="1" ht="18">
      <c r="A3" s="12" t="s">
        <v>6</v>
      </c>
      <c r="B3" s="12"/>
      <c r="C3" s="20"/>
      <c r="D3" s="20"/>
      <c r="E3" s="15" t="s">
        <v>7</v>
      </c>
      <c r="F3" s="21"/>
      <c r="G3" s="22" t="s">
        <v>8</v>
      </c>
      <c r="H3" s="23">
        <f>COUNTIF(H10:H203,"Fail")</f>
        <v>0</v>
      </c>
      <c r="I3" s="19"/>
      <c r="J3" s="6"/>
    </row>
    <row r="4" spans="1:10" s="1" customFormat="1" ht="18">
      <c r="A4" s="15" t="s">
        <v>9</v>
      </c>
      <c r="B4" s="15"/>
      <c r="C4" s="16"/>
      <c r="D4" s="16"/>
      <c r="E4" s="12" t="s">
        <v>10</v>
      </c>
      <c r="F4" s="24"/>
      <c r="G4" s="25" t="s">
        <v>11</v>
      </c>
      <c r="H4" s="26">
        <f>COUNTIF(H10:H203,"N/A")</f>
        <v>0</v>
      </c>
      <c r="I4" s="19"/>
      <c r="J4" s="6"/>
    </row>
    <row r="5" spans="1:10" s="1" customFormat="1" ht="18">
      <c r="A5" s="12" t="s">
        <v>12</v>
      </c>
      <c r="B5" s="12"/>
      <c r="C5" s="16"/>
      <c r="D5" s="16"/>
      <c r="E5" s="15" t="s">
        <v>13</v>
      </c>
      <c r="F5" s="24"/>
      <c r="G5" s="19"/>
      <c r="H5" s="19"/>
      <c r="I5" s="19"/>
      <c r="J5" s="6"/>
    </row>
    <row r="6" spans="1:10" s="1" customFormat="1" ht="18">
      <c r="A6" s="27" t="s">
        <v>14</v>
      </c>
      <c r="B6" s="27"/>
      <c r="C6" s="28"/>
      <c r="D6" s="28"/>
      <c r="E6" s="28"/>
      <c r="F6" s="28"/>
      <c r="G6" s="29"/>
      <c r="H6" s="19"/>
      <c r="I6" s="19"/>
      <c r="J6" s="6"/>
    </row>
    <row r="7" spans="1:10" s="1" customFormat="1" ht="16.5">
      <c r="A7" s="30"/>
      <c r="B7" s="30"/>
      <c r="C7" s="19"/>
      <c r="D7" s="19"/>
      <c r="E7" s="19"/>
      <c r="F7" s="19"/>
      <c r="G7" s="19"/>
      <c r="H7" s="19"/>
      <c r="I7" s="19"/>
      <c r="J7" s="6"/>
    </row>
    <row r="8" spans="1:10" s="2" customFormat="1" ht="18">
      <c r="A8" s="31" t="s">
        <v>15</v>
      </c>
      <c r="B8" s="31" t="s">
        <v>16</v>
      </c>
      <c r="C8" s="31" t="s">
        <v>17</v>
      </c>
      <c r="D8" s="31" t="s">
        <v>18</v>
      </c>
      <c r="E8" s="31" t="s">
        <v>19</v>
      </c>
      <c r="F8" s="31" t="s">
        <v>20</v>
      </c>
      <c r="G8" s="32" t="s">
        <v>21</v>
      </c>
      <c r="H8" s="31" t="s">
        <v>22</v>
      </c>
      <c r="I8" s="31" t="s">
        <v>23</v>
      </c>
    </row>
    <row r="9" spans="1:10" ht="42.75">
      <c r="A9" s="8">
        <v>1</v>
      </c>
      <c r="B9" s="11" t="s">
        <v>24</v>
      </c>
      <c r="C9" s="8" t="s">
        <v>25</v>
      </c>
      <c r="D9" s="8" t="s">
        <v>26</v>
      </c>
      <c r="E9" s="33" t="s">
        <v>64</v>
      </c>
      <c r="F9" s="7" t="s">
        <v>27</v>
      </c>
      <c r="G9" s="7" t="s">
        <v>28</v>
      </c>
      <c r="H9" s="8" t="s">
        <v>29</v>
      </c>
      <c r="I9" s="8"/>
    </row>
    <row r="10" spans="1:10" ht="28.5">
      <c r="A10" s="8">
        <v>2</v>
      </c>
      <c r="B10" s="11"/>
      <c r="C10" s="8" t="s">
        <v>25</v>
      </c>
      <c r="D10" s="8" t="s">
        <v>30</v>
      </c>
      <c r="E10" s="33" t="s">
        <v>67</v>
      </c>
      <c r="F10" s="7" t="s">
        <v>31</v>
      </c>
      <c r="G10" s="33" t="s">
        <v>61</v>
      </c>
      <c r="H10" s="7"/>
      <c r="I10" s="8"/>
    </row>
    <row r="11" spans="1:10" ht="57">
      <c r="A11" s="8">
        <v>3</v>
      </c>
      <c r="B11" s="11"/>
      <c r="C11" s="8" t="s">
        <v>25</v>
      </c>
      <c r="D11" s="8" t="s">
        <v>32</v>
      </c>
      <c r="E11" s="33" t="s">
        <v>66</v>
      </c>
      <c r="F11" s="7" t="s">
        <v>33</v>
      </c>
      <c r="G11" s="7" t="s">
        <v>34</v>
      </c>
      <c r="H11" s="8" t="s">
        <v>29</v>
      </c>
      <c r="I11" s="8"/>
    </row>
    <row r="12" spans="1:10" ht="57">
      <c r="A12" s="8">
        <v>4</v>
      </c>
      <c r="B12" s="11"/>
      <c r="C12" s="8" t="s">
        <v>25</v>
      </c>
      <c r="D12" s="8" t="s">
        <v>35</v>
      </c>
      <c r="E12" s="33" t="s">
        <v>65</v>
      </c>
      <c r="F12" s="7" t="s">
        <v>36</v>
      </c>
      <c r="G12" s="7" t="s">
        <v>37</v>
      </c>
      <c r="H12" s="8" t="s">
        <v>29</v>
      </c>
      <c r="I12" s="8"/>
    </row>
    <row r="13" spans="1:10">
      <c r="A13" s="8">
        <v>5</v>
      </c>
      <c r="B13" s="11"/>
      <c r="C13" s="8" t="s">
        <v>25</v>
      </c>
      <c r="D13" s="8" t="s">
        <v>38</v>
      </c>
      <c r="E13" s="33" t="s">
        <v>68</v>
      </c>
      <c r="F13" s="33" t="s">
        <v>62</v>
      </c>
      <c r="G13" s="33" t="s">
        <v>63</v>
      </c>
      <c r="H13" s="8" t="s">
        <v>29</v>
      </c>
      <c r="I13" s="8"/>
    </row>
    <row r="14" spans="1:10" ht="42.75">
      <c r="A14" s="8">
        <v>6</v>
      </c>
      <c r="B14" s="11"/>
      <c r="C14" s="8" t="s">
        <v>25</v>
      </c>
      <c r="D14" s="8" t="s">
        <v>39</v>
      </c>
      <c r="E14" s="33" t="s">
        <v>69</v>
      </c>
      <c r="F14" s="33" t="s">
        <v>71</v>
      </c>
      <c r="G14" s="33" t="s">
        <v>70</v>
      </c>
      <c r="H14" s="8" t="s">
        <v>29</v>
      </c>
      <c r="I14" s="8"/>
    </row>
    <row r="15" spans="1:10" ht="42.75">
      <c r="A15" s="8">
        <v>7</v>
      </c>
      <c r="B15" s="11" t="s">
        <v>40</v>
      </c>
      <c r="C15" s="8" t="s">
        <v>25</v>
      </c>
      <c r="D15" s="8" t="s">
        <v>41</v>
      </c>
      <c r="E15" s="7" t="s">
        <v>42</v>
      </c>
      <c r="F15" s="7" t="s">
        <v>43</v>
      </c>
      <c r="G15" s="33" t="s">
        <v>72</v>
      </c>
      <c r="H15" s="8" t="s">
        <v>29</v>
      </c>
      <c r="I15" s="8"/>
    </row>
    <row r="16" spans="1:10" ht="57">
      <c r="A16" s="8">
        <v>8</v>
      </c>
      <c r="B16" s="11"/>
      <c r="C16" s="8" t="s">
        <v>25</v>
      </c>
      <c r="D16" s="8" t="s">
        <v>44</v>
      </c>
      <c r="E16" s="7" t="s">
        <v>45</v>
      </c>
      <c r="F16" s="7" t="s">
        <v>46</v>
      </c>
      <c r="G16" s="7" t="s">
        <v>47</v>
      </c>
      <c r="H16" s="8" t="s">
        <v>29</v>
      </c>
      <c r="I16" s="8"/>
    </row>
    <row r="17" spans="1:9" ht="85.5">
      <c r="A17" s="8">
        <v>9</v>
      </c>
      <c r="B17" s="11"/>
      <c r="C17" s="8" t="s">
        <v>25</v>
      </c>
      <c r="D17" s="34" t="s">
        <v>73</v>
      </c>
      <c r="E17" s="33" t="s">
        <v>75</v>
      </c>
      <c r="F17" s="33" t="s">
        <v>74</v>
      </c>
      <c r="G17" s="33" t="s">
        <v>77</v>
      </c>
      <c r="H17" s="8" t="s">
        <v>29</v>
      </c>
      <c r="I17" s="8"/>
    </row>
    <row r="18" spans="1:9" ht="57">
      <c r="A18" s="8">
        <v>10</v>
      </c>
      <c r="B18" s="11"/>
      <c r="C18" s="8" t="s">
        <v>25</v>
      </c>
      <c r="D18" s="8" t="s">
        <v>48</v>
      </c>
      <c r="E18" s="7" t="s">
        <v>49</v>
      </c>
      <c r="F18" s="7" t="s">
        <v>50</v>
      </c>
      <c r="G18" s="8" t="s">
        <v>51</v>
      </c>
      <c r="H18" s="8" t="s">
        <v>29</v>
      </c>
      <c r="I18" s="8"/>
    </row>
    <row r="19" spans="1:9" ht="57">
      <c r="A19" s="8">
        <v>11</v>
      </c>
      <c r="B19" s="11"/>
      <c r="C19" s="8" t="s">
        <v>25</v>
      </c>
      <c r="D19" s="8" t="s">
        <v>52</v>
      </c>
      <c r="E19" s="7" t="s">
        <v>53</v>
      </c>
      <c r="F19" s="7" t="s">
        <v>54</v>
      </c>
      <c r="G19" s="7" t="s">
        <v>55</v>
      </c>
      <c r="H19" s="8" t="s">
        <v>29</v>
      </c>
      <c r="I19" s="8"/>
    </row>
    <row r="20" spans="1:9" ht="57">
      <c r="A20" s="8">
        <v>12</v>
      </c>
      <c r="B20" s="11"/>
      <c r="C20" s="8" t="s">
        <v>25</v>
      </c>
      <c r="D20" s="8" t="s">
        <v>56</v>
      </c>
      <c r="E20" s="7" t="s">
        <v>57</v>
      </c>
      <c r="F20" s="7" t="s">
        <v>58</v>
      </c>
      <c r="G20" s="7" t="s">
        <v>59</v>
      </c>
      <c r="H20" s="8" t="s">
        <v>29</v>
      </c>
      <c r="I20" s="8"/>
    </row>
    <row r="21" spans="1:9" ht="57">
      <c r="A21" s="8">
        <v>13</v>
      </c>
      <c r="B21" s="11"/>
      <c r="C21" s="8" t="s">
        <v>25</v>
      </c>
      <c r="D21" s="8" t="s">
        <v>60</v>
      </c>
      <c r="E21" s="33" t="s">
        <v>76</v>
      </c>
      <c r="F21" s="33" t="s">
        <v>78</v>
      </c>
      <c r="G21" s="33" t="s">
        <v>79</v>
      </c>
      <c r="H21" s="8" t="s">
        <v>29</v>
      </c>
      <c r="I21" s="8"/>
    </row>
  </sheetData>
  <mergeCells count="5">
    <mergeCell ref="A1:F1"/>
    <mergeCell ref="C2:D2"/>
    <mergeCell ref="C6:F6"/>
    <mergeCell ref="B9:B14"/>
    <mergeCell ref="B15:B21"/>
  </mergeCells>
  <phoneticPr fontId="6" type="noConversion"/>
  <pageMargins left="0.75" right="0.75" top="1" bottom="1" header="0.5" footer="0.5"/>
  <ignoredErrors>
    <ignoredError sqref="H11:H14 H9 C9:D14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分享好礼优化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lrwei91 .</cp:lastModifiedBy>
  <dcterms:created xsi:type="dcterms:W3CDTF">2026-03-19T07:42:00Z</dcterms:created>
  <dcterms:modified xsi:type="dcterms:W3CDTF">2026-03-23T03:45:31Z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8D9FFE2EB9E940288107CAC1932E8D2E_12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